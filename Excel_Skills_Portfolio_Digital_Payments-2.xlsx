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Survey_Data" sheetId="2" state="visible" r:id="rId4"/>
    <sheet name="Dashboard" sheetId="3" state="visible" r:id="rId5"/>
    <sheet name="Excel_Practice" sheetId="4" state="visible" r:id="rId6"/>
    <sheet name="Method_Notes" sheetId="5" state="visible" r:id="rId7"/>
    <sheet name="Skills_Log" sheetId="6" state="visible" r:id="rId8"/>
  </sheets>
  <definedNames>
    <definedName function="false" hidden="true" localSheetId="1" name="_xlnm._FilterDatabase" vbProcedure="false">Survey_Data!$A$1:$AJ$89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<sst xmlns="http://schemas.openxmlformats.org/spreadsheetml/2006/main" count="863" uniqueCount="193">
  <si>
    <t xml:space="preserve">Digital Payments Research | Excel Skills Portfolio</t>
  </si>
  <si>
    <t xml:space="preserve">Purpose</t>
  </si>
  <si>
    <t xml:space="preserve">Use your existing China–India digital-payment survey to practise Excel and create evidence for a skills portfolio.</t>
  </si>
  <si>
    <t xml:space="preserve">Important</t>
  </si>
  <si>
    <t xml:space="preserve">This workbook is a learning/reproducibility aid. It does not award an official course certificate.</t>
  </si>
  <si>
    <t xml:space="preserve">Data source</t>
  </si>
  <si>
    <t xml:space="preserve">Survey_Data is copied from the Clean_Data sheet in your earlier analysis workbook. The analysis sample contains 88 rows.</t>
  </si>
  <si>
    <t xml:space="preserve">How to use</t>
  </si>
  <si>
    <t xml:space="preserve">Start with Dashboard, then complete the tasks in Excel_Practice. Use Excel desktop or a compatible spreadsheet app where possible.</t>
  </si>
  <si>
    <t xml:space="preserve">Formula note</t>
  </si>
  <si>
    <t xml:space="preserve">Green columns are calculated/reversed score columns from the source workbook. Some spreadsheet apps may need to recalculate formulas when opened.</t>
  </si>
  <si>
    <t xml:space="preserve">Research caution</t>
  </si>
  <si>
    <t xml:space="preserve">The survey is a convenience sample. Report associations, not causation, and do not describe the sample as representative of all students in China or India.</t>
  </si>
  <si>
    <t xml:space="preserve">Portfolio evidence</t>
  </si>
  <si>
    <t xml:space="preserve">Keep this workbook, screenshots of your completed practice tasks, a short written interpretation, and your Python notebook as separate evidence.</t>
  </si>
  <si>
    <t xml:space="preserve">Status</t>
  </si>
  <si>
    <t xml:space="preserve">Excel_Practice tasks and Skills_Log are practice material for the workbook owner. A task is marked "Yes" only when it has actually been done; treat anything still marked "No" or "Not started" as not yet completed.</t>
  </si>
  <si>
    <t xml:space="preserve">Original row #</t>
  </si>
  <si>
    <t xml:space="preserve">Date</t>
  </si>
  <si>
    <t xml:space="preserve">Age range</t>
  </si>
  <si>
    <t xml:space="preserve">Gender</t>
  </si>
  <si>
    <t xml:space="preserve">Country</t>
  </si>
  <si>
    <t xml:space="preserve">Field of study (as entered)</t>
  </si>
  <si>
    <t xml:space="preserve">Field group</t>
  </si>
  <si>
    <t xml:space="preserve">Q1 Saves time vs cash</t>
  </si>
  <si>
    <t xml:space="preserve">Q2 Improves money mgmt</t>
  </si>
  <si>
    <t xml:space="preserve">Q3 More convenient</t>
  </si>
  <si>
    <t xml:space="preserve">Q4 Easy to learn</t>
  </si>
  <si>
    <t xml:space="preserve">Q5 Simple to navigate</t>
  </si>
  <si>
    <t xml:space="preserve">Q6 Little effort per transaction</t>
  </si>
  <si>
    <t xml:space="preserve">Usage frequency</t>
  </si>
  <si>
    <t xml:space="preserve">Frequency score (1-5)</t>
  </si>
  <si>
    <t xml:space="preserve">Q7 Trust platforms</t>
  </si>
  <si>
    <t xml:space="preserve">Q8 Peers influence me</t>
  </si>
  <si>
    <t xml:space="preserve">Q9 Norm in my social circle</t>
  </si>
  <si>
    <t xml:space="preserve">Q10 Data is protected</t>
  </si>
  <si>
    <t xml:space="preserve">Q11 Intend to continue</t>
  </si>
  <si>
    <t xml:space="preserve">Q12 Recommend to others</t>
  </si>
  <si>
    <t xml:space="preserve">Q13 Confident errors resolved</t>
  </si>
  <si>
    <t xml:space="preserve">Q14 Worry losing money</t>
  </si>
  <si>
    <t xml:space="preserve">Q15 Worry fraud</t>
  </si>
  <si>
    <t xml:space="preserve">Q16 Hesitate on large transactions</t>
  </si>
  <si>
    <t xml:space="preserve">Q14 reversed</t>
  </si>
  <si>
    <t xml:space="preserve">Q15 reversed</t>
  </si>
  <si>
    <t xml:space="preserve">Q16 reversed</t>
  </si>
  <si>
    <t xml:space="preserve">Usefulness_Score</t>
  </si>
  <si>
    <t xml:space="preserve">EaseOfUse_Score</t>
  </si>
  <si>
    <t xml:space="preserve">Trust_Score</t>
  </si>
  <si>
    <t xml:space="preserve">SocialInfluence_Score</t>
  </si>
  <si>
    <t xml:space="preserve">Intention_Score</t>
  </si>
  <si>
    <t xml:space="preserve">Risk_Score</t>
  </si>
  <si>
    <t xml:space="preserve">Same-batch flag (29/09 18:39-18:46)</t>
  </si>
  <si>
    <t xml:space="preserve">Identical to an earlier row</t>
  </si>
  <si>
    <t xml:space="preserve">21–23</t>
  </si>
  <si>
    <t xml:space="preserve">Female</t>
  </si>
  <si>
    <t xml:space="preserve">China</t>
  </si>
  <si>
    <t xml:space="preserve">Commerce</t>
  </si>
  <si>
    <t xml:space="preserve">Business &amp; Economics</t>
  </si>
  <si>
    <t xml:space="preserve">Rarely</t>
  </si>
  <si>
    <t xml:space="preserve">No</t>
  </si>
  <si>
    <t xml:space="preserve">24 and above</t>
  </si>
  <si>
    <t xml:space="preserve">Male</t>
  </si>
  <si>
    <t xml:space="preserve">Computer Science</t>
  </si>
  <si>
    <t xml:space="preserve">Tech &amp; Engineering</t>
  </si>
  <si>
    <t xml:space="preserve">Daily</t>
  </si>
  <si>
    <t xml:space="preserve">Finance</t>
  </si>
  <si>
    <t xml:space="preserve">Weekly</t>
  </si>
  <si>
    <t xml:space="preserve">Medical</t>
  </si>
  <si>
    <t xml:space="preserve">Medical &amp; Health</t>
  </si>
  <si>
    <t xml:space="preserve">Arts</t>
  </si>
  <si>
    <t xml:space="preserve">Arts &amp; Humanities</t>
  </si>
  <si>
    <t xml:space="preserve">Never</t>
  </si>
  <si>
    <t xml:space="preserve">Digital Science</t>
  </si>
  <si>
    <t xml:space="preserve">Business</t>
  </si>
  <si>
    <t xml:space="preserve">Monthly</t>
  </si>
  <si>
    <t xml:space="preserve">18–20</t>
  </si>
  <si>
    <t xml:space="preserve">Economics</t>
  </si>
  <si>
    <t xml:space="preserve">Computer science</t>
  </si>
  <si>
    <t xml:space="preserve">Management</t>
  </si>
  <si>
    <t xml:space="preserve">Technology</t>
  </si>
  <si>
    <t xml:space="preserve">Not stated</t>
  </si>
  <si>
    <t xml:space="preserve">Prefer not to say</t>
  </si>
  <si>
    <t xml:space="preserve">computer science</t>
  </si>
  <si>
    <t xml:space="preserve">India</t>
  </si>
  <si>
    <t xml:space="preserve">Chemical</t>
  </si>
  <si>
    <t xml:space="preserve">BA</t>
  </si>
  <si>
    <t xml:space="preserve">CA intermediate</t>
  </si>
  <si>
    <t xml:space="preserve">B.tech computer science and en</t>
  </si>
  <si>
    <t xml:space="preserve">Fashion designer</t>
  </si>
  <si>
    <t xml:space="preserve">Life Science</t>
  </si>
  <si>
    <t xml:space="preserve">Science</t>
  </si>
  <si>
    <t xml:space="preserve">Pursuing my Graduation with His</t>
  </si>
  <si>
    <t xml:space="preserve">Other / unclear</t>
  </si>
  <si>
    <t xml:space="preserve">Btech</t>
  </si>
  <si>
    <t xml:space="preserve">IT</t>
  </si>
  <si>
    <t xml:space="preserve">Yes</t>
  </si>
  <si>
    <t xml:space="preserve">Mechanical</t>
  </si>
  <si>
    <t xml:space="preserve">Digital AI</t>
  </si>
  <si>
    <t xml:space="preserve">Information Technology</t>
  </si>
  <si>
    <t xml:space="preserve">ENGINEERING</t>
  </si>
  <si>
    <t xml:space="preserve">Indonesia</t>
  </si>
  <si>
    <t xml:space="preserve">BCA in AI</t>
  </si>
  <si>
    <t xml:space="preserve">Survey Snapshot Dashboard</t>
  </si>
  <si>
    <t xml:space="preserve">Indicator</t>
  </si>
  <si>
    <t xml:space="preserve">Value</t>
  </si>
  <si>
    <t xml:space="preserve">Construct</t>
  </si>
  <si>
    <t xml:space="preserve">Mean score</t>
  </si>
  <si>
    <t xml:space="preserve">Analysis sample size</t>
  </si>
  <si>
    <t xml:space="preserve">Usefulness</t>
  </si>
  <si>
    <t xml:space="preserve">China respondents</t>
  </si>
  <si>
    <t xml:space="preserve">Ease of use</t>
  </si>
  <si>
    <t xml:space="preserve">India respondents</t>
  </si>
  <si>
    <t xml:space="preserve">Trust</t>
  </si>
  <si>
    <t xml:space="preserve">Average usefulness score</t>
  </si>
  <si>
    <t xml:space="preserve">Social influence</t>
  </si>
  <si>
    <t xml:space="preserve">Average ease-of-use score</t>
  </si>
  <si>
    <t xml:space="preserve">Intention</t>
  </si>
  <si>
    <t xml:space="preserve">Average trust score</t>
  </si>
  <si>
    <t xml:space="preserve">Perceived risk</t>
  </si>
  <si>
    <t xml:space="preserve">Average social influence score</t>
  </si>
  <si>
    <t xml:space="preserve">Average intention score</t>
  </si>
  <si>
    <t xml:space="preserve">Average perceived risk score</t>
  </si>
  <si>
    <t xml:space="preserve">Interpretation reminder:</t>
  </si>
  <si>
    <t xml:space="preserve">These descriptive averages summarise this sample only; they do not establish cause and effect.</t>
  </si>
  <si>
    <t xml:space="preserve">Excel Practice Tasks</t>
  </si>
  <si>
    <t xml:space="preserve">Task</t>
  </si>
  <si>
    <t xml:space="preserve">Skill</t>
  </si>
  <si>
    <t xml:space="preserve">What to do</t>
  </si>
  <si>
    <t xml:space="preserve">Formula / tool hint</t>
  </si>
  <si>
    <t xml:space="preserve">Your result</t>
  </si>
  <si>
    <t xml:space="preserve">Completed?</t>
  </si>
  <si>
    <t xml:space="preserve">1</t>
  </si>
  <si>
    <t xml:space="preserve">COUNTA</t>
  </si>
  <si>
    <t xml:space="preserve">Count the number of records in the cleaned survey sample.</t>
  </si>
  <si>
    <t xml:space="preserve">2</t>
  </si>
  <si>
    <t xml:space="preserve">COUNTIF</t>
  </si>
  <si>
    <t xml:space="preserve">Count how many respondents are studying in India.</t>
  </si>
  <si>
    <t xml:space="preserve">3</t>
  </si>
  <si>
    <t xml:space="preserve">AVERAGE</t>
  </si>
  <si>
    <t xml:space="preserve">Calculate the mean usefulness score.</t>
  </si>
  <si>
    <t xml:space="preserve">4</t>
  </si>
  <si>
    <t xml:space="preserve">AVERAGEIF</t>
  </si>
  <si>
    <t xml:space="preserve">Calculate the mean intention score for China only.</t>
  </si>
  <si>
    <t xml:space="preserve">5</t>
  </si>
  <si>
    <t xml:space="preserve">IF</t>
  </si>
  <si>
    <t xml:space="preserve">Create a new practice column that labels intention scores &gt;= 4 as High, otherwise Other.</t>
  </si>
  <si>
    <t xml:space="preserve">6</t>
  </si>
  <si>
    <t xml:space="preserve">Sort &amp; Filter</t>
  </si>
  <si>
    <t xml:space="preserve">Filter Country to China, then India; note the row counts.</t>
  </si>
  <si>
    <t xml:space="preserve">Data → Filter</t>
  </si>
  <si>
    <t xml:space="preserve">7</t>
  </si>
  <si>
    <t xml:space="preserve">Chart</t>
  </si>
  <si>
    <t xml:space="preserve">Create a column/bar chart from Dashboard's construct means.</t>
  </si>
  <si>
    <t xml:space="preserve">Select Dashboard D3:E9 → Insert Chart</t>
  </si>
  <si>
    <t xml:space="preserve">8</t>
  </si>
  <si>
    <t xml:space="preserve">Conditional Formatting</t>
  </si>
  <si>
    <t xml:space="preserve">Apply a 1–5 colour scale to the construct score columns.</t>
  </si>
  <si>
    <t xml:space="preserve">Home → Conditional Formatting</t>
  </si>
  <si>
    <t xml:space="preserve">9</t>
  </si>
  <si>
    <t xml:space="preserve">Data Quality</t>
  </si>
  <si>
    <t xml:space="preserve">Check blank demographic fields and the batch/duplicate flags before interpreting results.</t>
  </si>
  <si>
    <t xml:space="preserve">Filter the relevant columns</t>
  </si>
  <si>
    <t xml:space="preserve">10</t>
  </si>
  <si>
    <t xml:space="preserve">Explain</t>
  </si>
  <si>
    <t xml:space="preserve">Write two sentences describing the highest and lowest mean scores without claiming causation.</t>
  </si>
  <si>
    <t xml:space="preserve">Use Dashboard values</t>
  </si>
  <si>
    <t xml:space="preserve">Research Method Notes (from source workbook)</t>
  </si>
  <si>
    <t xml:space="preserve">METHOD NOTES (for the paper)</t>
  </si>
  <si>
    <t xml:space="preserve">Sample: 100 responses exported. 5 removed as incomplete, 7 removed as straight-lined (identical rating on all 16 items) leaving the analysis sample on Clean_Data. No answers were edited or imputed.</t>
  </si>
  <si>
    <t xml:space="preserve">Batch check: 4 retained responses fall inside the same 29/09 18:39-18:46 window as 7 removed straight-lined responses (a rapid submission cluster). They are flagged in the 'Same-batch flag' column. Filter that column to repeat any analysis without them and compare both results before deciding what to report. Exact submission times were removed from this public file for privacy.</t>
  </si>
  <si>
    <t xml:space="preserve">Constructs (mean of items): Usefulness = Q1-Q3; Ease of use = Q4-Q6; Trust = Q7, Q10, Q13; Social influence = Q8, Q9; Intention = Q11, Q12; Perceived risk = Q14-Q16 (higher = more concern).</t>
  </si>
  <si>
    <t xml:space="preserve">Reverse-coded copies of Q14-Q16 (6 minus score) are in green columns for use if you build a single positive-direction index. The Risk score itself is NOT reverse-coded.</t>
  </si>
  <si>
    <t xml:space="preserve">Usage frequency scored Never=1, Rarely=2, Monthly=3, Weekly=4, Daily=5 (not used in the construct scores).</t>
  </si>
  <si>
    <t xml:space="preserve">Tests: Welch t-test (two-tailed) for China vs India; Pearson r for associations with intention; Cronbach alpha for reliability. Alpha level .05.</t>
  </si>
  <si>
    <t xml:space="preserve">Field group is a grouping made for description only (e.g. Chemical, Mechanical, Btech = Tech &amp; Engineering; CA intermediate = Business). One entry is cut off in the source export and is Other / unclear.</t>
  </si>
  <si>
    <t xml:space="preserve">LIMITATIONS to state: convenience sample; self-reported attitudes; almost all respondents are from China and India (Indonesia n=1, Germany response removed as incomplete), so this is a China-India comparison, not a global one; the sample is strongly positive about digital payments (ceiling effects, little variance), which inflates correlations; some constructs have only 2 items; cross-sectional data show association, not causation; with these group sizes only moderate-to-large differences are detectable, so a non-significant result does not show no difference.</t>
  </si>
  <si>
    <t xml:space="preserve">Respondents with missing country (1) or gender (2) are kept and shown as Not stated.</t>
  </si>
  <si>
    <t xml:space="preserve">Skills Progress Log</t>
  </si>
  <si>
    <t xml:space="preserve">Evidence to save</t>
  </si>
  <si>
    <t xml:space="preserve">Date completed</t>
  </si>
  <si>
    <t xml:space="preserve">Notes / what I learned</t>
  </si>
  <si>
    <t xml:space="preserve">Excel</t>
  </si>
  <si>
    <t xml:space="preserve">Completed Excel_Practice tasks + workbook screenshot</t>
  </si>
  <si>
    <t xml:space="preserve">In progress</t>
  </si>
  <si>
    <t xml:space="preserve">Statistics</t>
  </si>
  <si>
    <t xml:space="preserve">One-page interpretation of descriptive stats/correlation/regression from paper</t>
  </si>
  <si>
    <t xml:space="preserve">Not started</t>
  </si>
  <si>
    <t xml:space="preserve">Python</t>
  </si>
  <si>
    <t xml:space="preserve">Notebook that imports data and reproduces descriptive analysis</t>
  </si>
  <si>
    <t xml:space="preserve">Research Methods</t>
  </si>
  <si>
    <t xml:space="preserve">One-page summary of design, sample, measures, limitations</t>
  </si>
  <si>
    <t xml:space="preserve">Power BI / alternative</t>
  </si>
  <si>
    <t xml:space="preserve">Dashboard screenshot or documented compatible alternative</t>
  </si>
</sst>
</file>

<file path=xl/styles.xml><?xml version="1.0" encoding="utf-8"?>
<styleSheet xmlns="http://schemas.openxmlformats.org/spreadsheetml/2006/main">
  <numFmts count="5">
    <numFmt numFmtId="164" formatCode="General"/>
    <numFmt numFmtId="165" formatCode="dd/mm/yyyy"/>
    <numFmt numFmtId="166" formatCode="General"/>
    <numFmt numFmtId="167" formatCode="0.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ptos Display"/>
      <family val="0"/>
      <charset val="1"/>
    </font>
    <font>
      <b val="true"/>
      <sz val="11"/>
      <color rgb="FF1F4E78"/>
      <name val="Cambria"/>
      <family val="0"/>
      <charset val="1"/>
    </font>
    <font>
      <b val="true"/>
      <sz val="11"/>
      <color rgb="FFFFFFFF"/>
      <name val="Cambria"/>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4E78"/>
        <bgColor rgb="FF003366"/>
      </patternFill>
    </fill>
    <fill>
      <patternFill patternType="solid">
        <fgColor rgb="FFD9EAF7"/>
        <bgColor rgb="FFD9E1F2"/>
      </patternFill>
    </fill>
    <fill>
      <patternFill patternType="solid">
        <fgColor rgb="FF5B9BD5"/>
        <bgColor rgb="FF4F81BD"/>
      </patternFill>
    </fill>
    <fill>
      <patternFill patternType="solid">
        <fgColor rgb="FFE2F0D9"/>
        <bgColor rgb="FFEAF3F8"/>
      </patternFill>
    </fill>
    <fill>
      <patternFill patternType="solid">
        <fgColor rgb="FFEAF3F8"/>
        <bgColor rgb="FFF9F9F9"/>
      </patternFill>
    </fill>
    <fill>
      <patternFill patternType="solid">
        <fgColor rgb="FFFFF2CC"/>
        <bgColor rgb="FFF9F9F9"/>
      </patternFill>
    </fill>
  </fills>
  <borders count="2">
    <border diagonalUp="false" diagonalDown="false">
      <left/>
      <right/>
      <top/>
      <bottom/>
      <diagonal/>
    </border>
    <border diagonalUp="false" diagonalDown="false">
      <left/>
      <right/>
      <top/>
      <bottom style="thin">
        <color rgb="FFD9E1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5B9BD5"/>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63BE7B"/>
          <bgColor rgb="FF000000"/>
        </patternFill>
      </fill>
    </dxf>
    <dxf>
      <fill>
        <patternFill patternType="solid">
          <fgColor rgb="FF7DC67D"/>
          <bgColor rgb="FF000000"/>
        </patternFill>
      </fill>
    </dxf>
    <dxf>
      <fill>
        <patternFill patternType="solid">
          <fgColor rgb="FF98CE7F"/>
          <bgColor rgb="FF000000"/>
        </patternFill>
      </fill>
    </dxf>
    <dxf>
      <fill>
        <patternFill patternType="solid">
          <fgColor rgb="FFB1D580"/>
          <bgColor rgb="FF000000"/>
        </patternFill>
      </fill>
    </dxf>
    <dxf>
      <fill>
        <patternFill patternType="solid">
          <fgColor rgb="FFCCDD82"/>
          <bgColor rgb="FF000000"/>
        </patternFill>
      </fill>
    </dxf>
    <dxf>
      <fill>
        <patternFill patternType="solid">
          <fgColor rgb="FFE5E483"/>
          <bgColor rgb="FF000000"/>
        </patternFill>
      </fill>
    </dxf>
    <dxf>
      <fill>
        <patternFill patternType="solid">
          <fgColor rgb="FFF8696B"/>
          <bgColor rgb="FF000000"/>
        </patternFill>
      </fill>
    </dxf>
    <dxf>
      <fill>
        <patternFill patternType="solid">
          <fgColor rgb="FFFA9473"/>
          <bgColor rgb="FF000000"/>
        </patternFill>
      </fill>
    </dxf>
    <dxf>
      <fill>
        <patternFill patternType="solid">
          <fgColor rgb="FFFBAA77"/>
          <bgColor rgb="FF000000"/>
        </patternFill>
      </fill>
    </dxf>
    <dxf>
      <fill>
        <patternFill patternType="solid">
          <fgColor rgb="FFFFEB84"/>
          <bgColor rgb="FF000000"/>
        </patternFill>
      </fill>
    </dxf>
    <dxf>
      <fill>
        <patternFill patternType="solid">
          <fgColor rgb="FFF97E6F"/>
          <bgColor rgb="FF000000"/>
        </patternFill>
      </fill>
    </dxf>
    <dxf>
      <fill>
        <patternFill patternType="solid">
          <fgColor rgb="FFFCBF7B"/>
          <bgColor rgb="FF000000"/>
        </patternFill>
      </fill>
    </dxf>
    <dxf>
      <fill>
        <patternFill patternType="solid">
          <fgColor rgb="FF8ACA7E"/>
          <bgColor rgb="FF000000"/>
        </patternFill>
      </fill>
    </dxf>
    <dxf>
      <fill>
        <patternFill patternType="solid">
          <fgColor rgb="FFD8E082"/>
          <bgColor rgb="FF000000"/>
        </patternFill>
      </fill>
    </dxf>
    <dxf>
      <fill>
        <patternFill patternType="solid">
          <fgColor rgb="FFF98971"/>
          <bgColor rgb="FF000000"/>
        </patternFill>
      </fill>
    </dxf>
    <dxf>
      <fill>
        <patternFill patternType="solid">
          <fgColor rgb="FFFDCA7D"/>
          <bgColor rgb="FF000000"/>
        </patternFill>
      </fill>
    </dxf>
    <dxf>
      <fill>
        <patternFill patternType="solid">
          <fgColor rgb="FFFDD57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78787"/>
      <rgbColor rgb="FF5B9BD5"/>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F8"/>
      <rgbColor rgb="FFE2F0D9"/>
      <rgbColor rgb="FFF9F9F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score by construct</a:t>
            </a:r>
          </a:p>
        </c:rich>
      </c:tx>
      <c:overlay val="0"/>
      <c:spPr>
        <a:noFill/>
        <a:ln w="0">
          <a:noFill/>
        </a:ln>
      </c:spPr>
    </c:title>
    <c:autoTitleDeleted val="0"/>
    <c:plotArea>
      <c:barChart>
        <c:barDir val="bar"/>
        <c:grouping val="clustered"/>
        <c:varyColors val="0"/>
        <c:ser>
          <c:idx val="0"/>
          <c:order val="0"/>
          <c:tx>
            <c:strRef>
              <c:f>Dashboard!E3</c:f>
              <c:strCache>
                <c:ptCount val="1"/>
                <c:pt idx="0">
                  <c:v>Mean score</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Dashboard!$D$4:$D$9</c:f>
              <c:strCache>
                <c:ptCount val="6"/>
                <c:pt idx="0">
                  <c:v>Usefulness</c:v>
                </c:pt>
                <c:pt idx="1">
                  <c:v>Ease of use</c:v>
                </c:pt>
                <c:pt idx="2">
                  <c:v>Trust</c:v>
                </c:pt>
                <c:pt idx="3">
                  <c:v>Social influence</c:v>
                </c:pt>
                <c:pt idx="4">
                  <c:v>Intention</c:v>
                </c:pt>
                <c:pt idx="5">
                  <c:v>Perceived risk</c:v>
                </c:pt>
              </c:strCache>
            </c:strRef>
          </c:cat>
          <c:val>
            <c:numRef>
              <c:f>Dashboard!$E$4:$E$9</c:f>
              <c:numCache>
                <c:formatCode>0.00</c:formatCode>
                <c:ptCount val="6"/>
                <c:pt idx="0">
                  <c:v>3.97727272727273</c:v>
                </c:pt>
                <c:pt idx="1">
                  <c:v>4.06439393939394</c:v>
                </c:pt>
                <c:pt idx="2">
                  <c:v>4.03409090909091</c:v>
                </c:pt>
                <c:pt idx="3">
                  <c:v>3.90909090909091</c:v>
                </c:pt>
                <c:pt idx="4">
                  <c:v>4.09659090909091</c:v>
                </c:pt>
                <c:pt idx="5">
                  <c:v>2.59469696969697</c:v>
                </c:pt>
              </c:numCache>
            </c:numRef>
          </c:val>
        </c:ser>
        <c:gapWidth val="150"/>
        <c:overlap val="0"/>
        <c:axId val="37676120"/>
        <c:axId val="53055935"/>
      </c:barChart>
      <c:catAx>
        <c:axId val="37676120"/>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Mean score (1–5)</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055935"/>
        <c:crosses val="autoZero"/>
        <c:auto val="1"/>
        <c:lblAlgn val="ctr"/>
        <c:lblOffset val="100"/>
        <c:noMultiLvlLbl val="0"/>
      </c:catAx>
      <c:valAx>
        <c:axId val="53055935"/>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Construct</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6761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11</xdr:row>
      <xdr:rowOff>0</xdr:rowOff>
    </xdr:from>
    <xdr:to>
      <xdr:col>8</xdr:col>
      <xdr:colOff>25560</xdr:colOff>
      <xdr:row>25</xdr:row>
      <xdr:rowOff>32040</xdr:rowOff>
    </xdr:to>
    <xdr:graphicFrame>
      <xdr:nvGraphicFramePr>
        <xdr:cNvPr id="0" name="Chart 1"/>
        <xdr:cNvGraphicFramePr/>
      </xdr:nvGraphicFramePr>
      <xdr:xfrm>
        <a:off x="4276800" y="2523960"/>
        <a:ext cx="467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urveyDataTable" displayName="SurveyDataTable" ref="A1:AJ89" headerRowCount="1" totalsRowCount="0" totalsRowShown="0">
  <autoFilter ref="A1:AJ89"/>
  <tableColumns count="36">
    <tableColumn id="1" name="Original row #"/>
    <tableColumn id="2" name="Date"/>
    <tableColumn id="3" name="Age range"/>
    <tableColumn id="4" name="Gender"/>
    <tableColumn id="5" name="Country"/>
    <tableColumn id="6" name="Field of study (as entered)"/>
    <tableColumn id="7" name="Field group"/>
    <tableColumn id="8" name="Q1 Saves time vs cash"/>
    <tableColumn id="9" name="Q2 Improves money mgmt"/>
    <tableColumn id="10" name="Q3 More convenient"/>
    <tableColumn id="11" name="Q4 Easy to learn"/>
    <tableColumn id="12" name="Q5 Simple to navigate"/>
    <tableColumn id="13" name="Q6 Little effort per transaction"/>
    <tableColumn id="14" name="Usage frequency"/>
    <tableColumn id="15" name="Frequency score (1-5)"/>
    <tableColumn id="16" name="Q7 Trust platforms"/>
    <tableColumn id="17" name="Q8 Peers influence me"/>
    <tableColumn id="18" name="Q9 Norm in my social circle"/>
    <tableColumn id="19" name="Q10 Data is protected"/>
    <tableColumn id="20" name="Q11 Intend to continue"/>
    <tableColumn id="21" name="Q12 Recommend to others"/>
    <tableColumn id="22" name="Q13 Confident errors resolved"/>
    <tableColumn id="23" name="Q14 Worry losing money"/>
    <tableColumn id="24" name="Q15 Worry fraud"/>
    <tableColumn id="25" name="Q16 Hesitate on large transactions"/>
    <tableColumn id="26" name="Q14 reversed"/>
    <tableColumn id="27" name="Q15 reversed"/>
    <tableColumn id="28" name="Q16 reversed"/>
    <tableColumn id="29" name="Usefulness_Score"/>
    <tableColumn id="30" name="EaseOfUse_Score"/>
    <tableColumn id="31" name="Trust_Score"/>
    <tableColumn id="32" name="SocialInfluence_Score"/>
    <tableColumn id="33" name="Intention_Score"/>
    <tableColumn id="34" name="Risk_Score"/>
    <tableColumn id="35" name="Same-batch flag (29/09 18:39-18:46)"/>
    <tableColumn id="36" name="Identical to an earlier row"/>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20"/>
  </cols>
  <sheetData>
    <row r="1" customFormat="false" ht="30" hidden="false" customHeight="true" outlineLevel="0" collapsed="false">
      <c r="A1" s="2" t="s">
        <v>0</v>
      </c>
      <c r="B1" s="2"/>
      <c r="C1" s="2"/>
      <c r="D1" s="2"/>
      <c r="E1" s="2"/>
      <c r="F1" s="2"/>
    </row>
    <row r="3" customFormat="false" ht="42.75" hidden="false" customHeight="true" outlineLevel="0" collapsed="false">
      <c r="A3" s="3" t="s">
        <v>1</v>
      </c>
      <c r="B3" s="4" t="s">
        <v>2</v>
      </c>
      <c r="C3" s="4"/>
      <c r="D3" s="4"/>
      <c r="E3" s="4"/>
      <c r="F3" s="4"/>
    </row>
    <row r="4" customFormat="false" ht="42.75" hidden="false" customHeight="true" outlineLevel="0" collapsed="false">
      <c r="A4" s="3" t="s">
        <v>3</v>
      </c>
      <c r="B4" s="4" t="s">
        <v>4</v>
      </c>
      <c r="C4" s="4"/>
      <c r="D4" s="4"/>
      <c r="E4" s="4"/>
      <c r="F4" s="4"/>
    </row>
    <row r="5" customFormat="false" ht="42.75" hidden="false" customHeight="true" outlineLevel="0" collapsed="false">
      <c r="A5" s="3" t="s">
        <v>5</v>
      </c>
      <c r="B5" s="4" t="s">
        <v>6</v>
      </c>
      <c r="C5" s="4"/>
      <c r="D5" s="4"/>
      <c r="E5" s="4"/>
      <c r="F5" s="4"/>
    </row>
    <row r="6" customFormat="false" ht="42.75" hidden="false" customHeight="true" outlineLevel="0" collapsed="false">
      <c r="A6" s="3" t="s">
        <v>7</v>
      </c>
      <c r="B6" s="4" t="s">
        <v>8</v>
      </c>
      <c r="C6" s="4"/>
      <c r="D6" s="4"/>
      <c r="E6" s="4"/>
      <c r="F6" s="4"/>
    </row>
    <row r="7" customFormat="false" ht="42.75" hidden="false" customHeight="true" outlineLevel="0" collapsed="false">
      <c r="A7" s="3" t="s">
        <v>9</v>
      </c>
      <c r="B7" s="4" t="s">
        <v>10</v>
      </c>
      <c r="C7" s="4"/>
      <c r="D7" s="4"/>
      <c r="E7" s="4"/>
      <c r="F7" s="4"/>
    </row>
    <row r="8" customFormat="false" ht="42.75" hidden="false" customHeight="true" outlineLevel="0" collapsed="false">
      <c r="A8" s="3" t="s">
        <v>11</v>
      </c>
      <c r="B8" s="4" t="s">
        <v>12</v>
      </c>
      <c r="C8" s="4"/>
      <c r="D8" s="4"/>
      <c r="E8" s="4"/>
      <c r="F8" s="4"/>
    </row>
    <row r="9" customFormat="false" ht="42.75" hidden="false" customHeight="true" outlineLevel="0" collapsed="false">
      <c r="A9" s="3" t="s">
        <v>13</v>
      </c>
      <c r="B9" s="4" t="s">
        <v>14</v>
      </c>
      <c r="C9" s="4"/>
      <c r="D9" s="4"/>
      <c r="E9" s="4"/>
      <c r="F9" s="4"/>
    </row>
    <row r="10" customFormat="false" ht="42.75" hidden="false" customHeight="true" outlineLevel="0" collapsed="false">
      <c r="A10" s="3" t="s">
        <v>15</v>
      </c>
      <c r="B10" s="5" t="s">
        <v>16</v>
      </c>
    </row>
  </sheetData>
  <mergeCells count="8">
    <mergeCell ref="A1:F1"/>
    <mergeCell ref="B3:F3"/>
    <mergeCell ref="B4:F4"/>
    <mergeCell ref="B5:F5"/>
    <mergeCell ref="B6:F6"/>
    <mergeCell ref="B7:F7"/>
    <mergeCell ref="B8:F8"/>
    <mergeCell ref="B9:F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8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5" min="3" style="1" width="12"/>
    <col collapsed="false" customWidth="true" hidden="false" outlineLevel="0" max="7" min="6" style="1" width="25"/>
    <col collapsed="false" customWidth="true" hidden="false" outlineLevel="0" max="28" min="8" style="1" width="17"/>
    <col collapsed="false" customWidth="true" hidden="false" outlineLevel="0" max="29" min="29" style="1" width="18"/>
    <col collapsed="false" customWidth="true" hidden="false" outlineLevel="0" max="30" min="30" style="1" width="17"/>
    <col collapsed="false" customWidth="true" hidden="false" outlineLevel="0" max="31" min="31" style="1" width="13"/>
    <col collapsed="false" customWidth="true" hidden="false" outlineLevel="0" max="32" min="32" style="1" width="23"/>
    <col collapsed="false" customWidth="true" hidden="false" outlineLevel="0" max="33" min="33" style="1" width="17"/>
    <col collapsed="false" customWidth="true" hidden="false" outlineLevel="0" max="34" min="34" style="1" width="12"/>
    <col collapsed="false" customWidth="true" hidden="false" outlineLevel="0" max="36" min="35" style="1" width="28"/>
  </cols>
  <sheetData>
    <row r="1" customFormat="false" ht="51.75" hidden="false" customHeight="true" outlineLevel="0" collapsed="false">
      <c r="A1" s="6" t="s">
        <v>17</v>
      </c>
      <c r="B1" s="6" t="s">
        <v>18</v>
      </c>
      <c r="C1" s="6" t="s">
        <v>19</v>
      </c>
      <c r="D1" s="6" t="s">
        <v>20</v>
      </c>
      <c r="E1" s="6" t="s">
        <v>21</v>
      </c>
      <c r="F1" s="6" t="s">
        <v>22</v>
      </c>
      <c r="G1" s="6" t="s">
        <v>23</v>
      </c>
      <c r="H1" s="6" t="s">
        <v>24</v>
      </c>
      <c r="I1" s="6" t="s">
        <v>25</v>
      </c>
      <c r="J1" s="6" t="s">
        <v>26</v>
      </c>
      <c r="K1" s="6" t="s">
        <v>27</v>
      </c>
      <c r="L1" s="6" t="s">
        <v>28</v>
      </c>
      <c r="M1" s="6" t="s">
        <v>29</v>
      </c>
      <c r="N1" s="6" t="s">
        <v>30</v>
      </c>
      <c r="O1" s="6" t="s">
        <v>31</v>
      </c>
      <c r="P1" s="6" t="s">
        <v>32</v>
      </c>
      <c r="Q1" s="6" t="s">
        <v>33</v>
      </c>
      <c r="R1" s="6" t="s">
        <v>34</v>
      </c>
      <c r="S1" s="6" t="s">
        <v>35</v>
      </c>
      <c r="T1" s="6" t="s">
        <v>36</v>
      </c>
      <c r="U1" s="6" t="s">
        <v>37</v>
      </c>
      <c r="V1" s="6" t="s">
        <v>38</v>
      </c>
      <c r="W1" s="6" t="s">
        <v>39</v>
      </c>
      <c r="X1" s="6" t="s">
        <v>40</v>
      </c>
      <c r="Y1" s="6" t="s">
        <v>41</v>
      </c>
      <c r="Z1" s="6" t="s">
        <v>42</v>
      </c>
      <c r="AA1" s="6" t="s">
        <v>43</v>
      </c>
      <c r="AB1" s="6" t="s">
        <v>44</v>
      </c>
      <c r="AC1" s="6" t="s">
        <v>45</v>
      </c>
      <c r="AD1" s="6" t="s">
        <v>46</v>
      </c>
      <c r="AE1" s="6" t="s">
        <v>47</v>
      </c>
      <c r="AF1" s="6" t="s">
        <v>48</v>
      </c>
      <c r="AG1" s="6" t="s">
        <v>49</v>
      </c>
      <c r="AH1" s="6" t="s">
        <v>50</v>
      </c>
      <c r="AI1" s="6" t="s">
        <v>51</v>
      </c>
      <c r="AJ1" s="6" t="s">
        <v>52</v>
      </c>
    </row>
    <row r="2" customFormat="false" ht="15" hidden="false" customHeight="true" outlineLevel="0" collapsed="false">
      <c r="A2" s="7" t="n">
        <v>9</v>
      </c>
      <c r="B2" s="8" t="n">
        <v>46293</v>
      </c>
      <c r="C2" s="7" t="s">
        <v>53</v>
      </c>
      <c r="D2" s="7" t="s">
        <v>54</v>
      </c>
      <c r="E2" s="7" t="s">
        <v>55</v>
      </c>
      <c r="F2" s="7" t="s">
        <v>56</v>
      </c>
      <c r="G2" s="7" t="s">
        <v>57</v>
      </c>
      <c r="H2" s="7" t="n">
        <v>3</v>
      </c>
      <c r="I2" s="7" t="n">
        <v>4</v>
      </c>
      <c r="J2" s="7" t="n">
        <v>3</v>
      </c>
      <c r="K2" s="7" t="n">
        <v>4</v>
      </c>
      <c r="L2" s="7" t="n">
        <v>2</v>
      </c>
      <c r="M2" s="7" t="n">
        <v>3</v>
      </c>
      <c r="N2" s="7" t="s">
        <v>58</v>
      </c>
      <c r="O2" s="7" t="n">
        <f aca="false">IF(N2="Never",1,IF(N2="Rarely",2,IF(N2="Monthly",3,IF(N2="Weekly",4,5))))</f>
        <v>2</v>
      </c>
      <c r="P2" s="7" t="n">
        <v>2</v>
      </c>
      <c r="Q2" s="7" t="n">
        <v>2</v>
      </c>
      <c r="R2" s="7" t="n">
        <v>2</v>
      </c>
      <c r="S2" s="7" t="n">
        <v>2</v>
      </c>
      <c r="T2" s="7" t="n">
        <v>3</v>
      </c>
      <c r="U2" s="7" t="n">
        <v>3</v>
      </c>
      <c r="V2" s="7" t="n">
        <v>3</v>
      </c>
      <c r="W2" s="7" t="n">
        <v>5</v>
      </c>
      <c r="X2" s="7" t="n">
        <v>4</v>
      </c>
      <c r="Y2" s="7" t="n">
        <v>5</v>
      </c>
      <c r="Z2" s="9" t="n">
        <f aca="false">6-W2</f>
        <v>1</v>
      </c>
      <c r="AA2" s="9" t="n">
        <f aca="false">6-X2</f>
        <v>2</v>
      </c>
      <c r="AB2" s="9" t="n">
        <f aca="false">6-Y2</f>
        <v>1</v>
      </c>
      <c r="AC2" s="10" t="n">
        <f aca="false">AVERAGE(H2:J2)</f>
        <v>3.33333333333333</v>
      </c>
      <c r="AD2" s="10" t="n">
        <f aca="false">AVERAGE(K2:M2)</f>
        <v>3</v>
      </c>
      <c r="AE2" s="10" t="n">
        <f aca="false">AVERAGE(P2,S2,V2)</f>
        <v>2.33333333333333</v>
      </c>
      <c r="AF2" s="10" t="n">
        <f aca="false">AVERAGE(Q2,R2)</f>
        <v>2</v>
      </c>
      <c r="AG2" s="10" t="n">
        <f aca="false">AVERAGE(T2,U2)</f>
        <v>3</v>
      </c>
      <c r="AH2" s="10" t="n">
        <f aca="false">AVERAGE(W2:Y2)</f>
        <v>4.66666666666667</v>
      </c>
      <c r="AI2" s="7" t="s">
        <v>59</v>
      </c>
      <c r="AJ2" s="7" t="s">
        <v>59</v>
      </c>
    </row>
    <row r="3" customFormat="false" ht="15" hidden="false" customHeight="true" outlineLevel="0" collapsed="false">
      <c r="A3" s="7" t="n">
        <v>10</v>
      </c>
      <c r="B3" s="8" t="n">
        <v>46293</v>
      </c>
      <c r="C3" s="7" t="s">
        <v>60</v>
      </c>
      <c r="D3" s="7" t="s">
        <v>61</v>
      </c>
      <c r="E3" s="7" t="s">
        <v>55</v>
      </c>
      <c r="F3" s="7" t="s">
        <v>62</v>
      </c>
      <c r="G3" s="7" t="s">
        <v>63</v>
      </c>
      <c r="H3" s="7" t="n">
        <v>4</v>
      </c>
      <c r="I3" s="7" t="n">
        <v>4</v>
      </c>
      <c r="J3" s="7" t="n">
        <v>4</v>
      </c>
      <c r="K3" s="7" t="n">
        <v>4</v>
      </c>
      <c r="L3" s="7" t="n">
        <v>4</v>
      </c>
      <c r="M3" s="7" t="n">
        <v>4</v>
      </c>
      <c r="N3" s="7" t="s">
        <v>64</v>
      </c>
      <c r="O3" s="7" t="n">
        <f aca="false">IF(N3="Never",1,IF(N3="Rarely",2,IF(N3="Monthly",3,IF(N3="Weekly",4,5))))</f>
        <v>5</v>
      </c>
      <c r="P3" s="7" t="n">
        <v>4</v>
      </c>
      <c r="Q3" s="7" t="n">
        <v>4</v>
      </c>
      <c r="R3" s="7" t="n">
        <v>4</v>
      </c>
      <c r="S3" s="7" t="n">
        <v>4</v>
      </c>
      <c r="T3" s="7" t="n">
        <v>4</v>
      </c>
      <c r="U3" s="7" t="n">
        <v>4</v>
      </c>
      <c r="V3" s="7" t="n">
        <v>4</v>
      </c>
      <c r="W3" s="7" t="n">
        <v>1</v>
      </c>
      <c r="X3" s="7" t="n">
        <v>1</v>
      </c>
      <c r="Y3" s="7" t="n">
        <v>1</v>
      </c>
      <c r="Z3" s="9" t="n">
        <f aca="false">6-W3</f>
        <v>5</v>
      </c>
      <c r="AA3" s="9" t="n">
        <f aca="false">6-X3</f>
        <v>5</v>
      </c>
      <c r="AB3" s="9" t="n">
        <f aca="false">6-Y3</f>
        <v>5</v>
      </c>
      <c r="AC3" s="10" t="n">
        <f aca="false">AVERAGE(H3:J3)</f>
        <v>4</v>
      </c>
      <c r="AD3" s="10" t="n">
        <f aca="false">AVERAGE(K3:M3)</f>
        <v>4</v>
      </c>
      <c r="AE3" s="10" t="n">
        <f aca="false">AVERAGE(P3,S3,V3)</f>
        <v>4</v>
      </c>
      <c r="AF3" s="10" t="n">
        <f aca="false">AVERAGE(Q3,R3)</f>
        <v>4</v>
      </c>
      <c r="AG3" s="10" t="n">
        <f aca="false">AVERAGE(T3,U3)</f>
        <v>4</v>
      </c>
      <c r="AH3" s="10" t="n">
        <f aca="false">AVERAGE(W3:Y3)</f>
        <v>1</v>
      </c>
      <c r="AI3" s="7" t="s">
        <v>59</v>
      </c>
      <c r="AJ3" s="7" t="s">
        <v>59</v>
      </c>
    </row>
    <row r="4" customFormat="false" ht="15" hidden="false" customHeight="true" outlineLevel="0" collapsed="false">
      <c r="A4" s="7" t="n">
        <v>11</v>
      </c>
      <c r="B4" s="8" t="n">
        <v>46293</v>
      </c>
      <c r="C4" s="7" t="s">
        <v>60</v>
      </c>
      <c r="D4" s="7" t="s">
        <v>61</v>
      </c>
      <c r="E4" s="7" t="s">
        <v>55</v>
      </c>
      <c r="F4" s="7" t="s">
        <v>65</v>
      </c>
      <c r="G4" s="7" t="s">
        <v>57</v>
      </c>
      <c r="H4" s="7" t="n">
        <v>3</v>
      </c>
      <c r="I4" s="7" t="n">
        <v>3</v>
      </c>
      <c r="J4" s="7" t="n">
        <v>3</v>
      </c>
      <c r="K4" s="7" t="n">
        <v>3</v>
      </c>
      <c r="L4" s="7" t="n">
        <v>3</v>
      </c>
      <c r="M4" s="7" t="n">
        <v>3</v>
      </c>
      <c r="N4" s="7" t="s">
        <v>66</v>
      </c>
      <c r="O4" s="7" t="n">
        <f aca="false">IF(N4="Never",1,IF(N4="Rarely",2,IF(N4="Monthly",3,IF(N4="Weekly",4,5))))</f>
        <v>4</v>
      </c>
      <c r="P4" s="7" t="n">
        <v>3</v>
      </c>
      <c r="Q4" s="7" t="n">
        <v>3</v>
      </c>
      <c r="R4" s="7" t="n">
        <v>3</v>
      </c>
      <c r="S4" s="7" t="n">
        <v>3</v>
      </c>
      <c r="T4" s="7" t="n">
        <v>3</v>
      </c>
      <c r="U4" s="7" t="n">
        <v>3</v>
      </c>
      <c r="V4" s="7" t="n">
        <v>3</v>
      </c>
      <c r="W4" s="7" t="n">
        <v>2</v>
      </c>
      <c r="X4" s="7" t="n">
        <v>2</v>
      </c>
      <c r="Y4" s="7" t="n">
        <v>2</v>
      </c>
      <c r="Z4" s="9" t="n">
        <f aca="false">6-W4</f>
        <v>4</v>
      </c>
      <c r="AA4" s="9" t="n">
        <f aca="false">6-X4</f>
        <v>4</v>
      </c>
      <c r="AB4" s="9" t="n">
        <f aca="false">6-Y4</f>
        <v>4</v>
      </c>
      <c r="AC4" s="10" t="n">
        <f aca="false">AVERAGE(H4:J4)</f>
        <v>3</v>
      </c>
      <c r="AD4" s="10" t="n">
        <f aca="false">AVERAGE(K4:M4)</f>
        <v>3</v>
      </c>
      <c r="AE4" s="10" t="n">
        <f aca="false">AVERAGE(P4,S4,V4)</f>
        <v>3</v>
      </c>
      <c r="AF4" s="10" t="n">
        <f aca="false">AVERAGE(Q4,R4)</f>
        <v>3</v>
      </c>
      <c r="AG4" s="10" t="n">
        <f aca="false">AVERAGE(T4,U4)</f>
        <v>3</v>
      </c>
      <c r="AH4" s="10" t="n">
        <f aca="false">AVERAGE(W4:Y4)</f>
        <v>2</v>
      </c>
      <c r="AI4" s="7" t="s">
        <v>59</v>
      </c>
      <c r="AJ4" s="7" t="s">
        <v>59</v>
      </c>
    </row>
    <row r="5" customFormat="false" ht="15" hidden="false" customHeight="true" outlineLevel="0" collapsed="false">
      <c r="A5" s="7" t="n">
        <v>12</v>
      </c>
      <c r="B5" s="8" t="n">
        <v>46293</v>
      </c>
      <c r="C5" s="7" t="s">
        <v>60</v>
      </c>
      <c r="D5" s="7" t="s">
        <v>54</v>
      </c>
      <c r="E5" s="7" t="s">
        <v>55</v>
      </c>
      <c r="F5" s="7" t="s">
        <v>67</v>
      </c>
      <c r="G5" s="7" t="s">
        <v>68</v>
      </c>
      <c r="H5" s="7" t="n">
        <v>5</v>
      </c>
      <c r="I5" s="7" t="n">
        <v>5</v>
      </c>
      <c r="J5" s="7" t="n">
        <v>5</v>
      </c>
      <c r="K5" s="7" t="n">
        <v>5</v>
      </c>
      <c r="L5" s="7" t="n">
        <v>5</v>
      </c>
      <c r="M5" s="7" t="n">
        <v>5</v>
      </c>
      <c r="N5" s="7" t="s">
        <v>64</v>
      </c>
      <c r="O5" s="7" t="n">
        <f aca="false">IF(N5="Never",1,IF(N5="Rarely",2,IF(N5="Monthly",3,IF(N5="Weekly",4,5))))</f>
        <v>5</v>
      </c>
      <c r="P5" s="7" t="n">
        <v>5</v>
      </c>
      <c r="Q5" s="7" t="n">
        <v>5</v>
      </c>
      <c r="R5" s="7" t="n">
        <v>5</v>
      </c>
      <c r="S5" s="7" t="n">
        <v>5</v>
      </c>
      <c r="T5" s="7" t="n">
        <v>5</v>
      </c>
      <c r="U5" s="7" t="n">
        <v>5</v>
      </c>
      <c r="V5" s="7" t="n">
        <v>5</v>
      </c>
      <c r="W5" s="7" t="n">
        <v>1</v>
      </c>
      <c r="X5" s="7" t="n">
        <v>1</v>
      </c>
      <c r="Y5" s="7" t="n">
        <v>1</v>
      </c>
      <c r="Z5" s="9" t="n">
        <f aca="false">6-W5</f>
        <v>5</v>
      </c>
      <c r="AA5" s="9" t="n">
        <f aca="false">6-X5</f>
        <v>5</v>
      </c>
      <c r="AB5" s="9" t="n">
        <f aca="false">6-Y5</f>
        <v>5</v>
      </c>
      <c r="AC5" s="10" t="n">
        <f aca="false">AVERAGE(H5:J5)</f>
        <v>5</v>
      </c>
      <c r="AD5" s="10" t="n">
        <f aca="false">AVERAGE(K5:M5)</f>
        <v>5</v>
      </c>
      <c r="AE5" s="10" t="n">
        <f aca="false">AVERAGE(P5,S5,V5)</f>
        <v>5</v>
      </c>
      <c r="AF5" s="10" t="n">
        <f aca="false">AVERAGE(Q5,R5)</f>
        <v>5</v>
      </c>
      <c r="AG5" s="10" t="n">
        <f aca="false">AVERAGE(T5,U5)</f>
        <v>5</v>
      </c>
      <c r="AH5" s="10" t="n">
        <f aca="false">AVERAGE(W5:Y5)</f>
        <v>1</v>
      </c>
      <c r="AI5" s="7" t="s">
        <v>59</v>
      </c>
      <c r="AJ5" s="7" t="s">
        <v>59</v>
      </c>
    </row>
    <row r="6" customFormat="false" ht="15" hidden="false" customHeight="true" outlineLevel="0" collapsed="false">
      <c r="A6" s="7" t="n">
        <v>14</v>
      </c>
      <c r="B6" s="8" t="n">
        <v>46293</v>
      </c>
      <c r="C6" s="7" t="s">
        <v>53</v>
      </c>
      <c r="D6" s="7" t="s">
        <v>54</v>
      </c>
      <c r="E6" s="7" t="s">
        <v>55</v>
      </c>
      <c r="F6" s="7" t="s">
        <v>69</v>
      </c>
      <c r="G6" s="7" t="s">
        <v>70</v>
      </c>
      <c r="H6" s="7" t="n">
        <v>1</v>
      </c>
      <c r="I6" s="7" t="n">
        <v>1</v>
      </c>
      <c r="J6" s="7" t="n">
        <v>1</v>
      </c>
      <c r="K6" s="7" t="n">
        <v>1</v>
      </c>
      <c r="L6" s="7" t="n">
        <v>1</v>
      </c>
      <c r="M6" s="7" t="n">
        <v>1</v>
      </c>
      <c r="N6" s="7" t="s">
        <v>71</v>
      </c>
      <c r="O6" s="7" t="n">
        <f aca="false">IF(N6="Never",1,IF(N6="Rarely",2,IF(N6="Monthly",3,IF(N6="Weekly",4,5))))</f>
        <v>1</v>
      </c>
      <c r="P6" s="7" t="n">
        <v>1</v>
      </c>
      <c r="Q6" s="7" t="n">
        <v>1</v>
      </c>
      <c r="R6" s="7" t="n">
        <v>1</v>
      </c>
      <c r="S6" s="7" t="n">
        <v>1</v>
      </c>
      <c r="T6" s="7" t="n">
        <v>1</v>
      </c>
      <c r="U6" s="7" t="n">
        <v>1</v>
      </c>
      <c r="V6" s="7" t="n">
        <v>1</v>
      </c>
      <c r="W6" s="7" t="n">
        <v>5</v>
      </c>
      <c r="X6" s="7" t="n">
        <v>5</v>
      </c>
      <c r="Y6" s="7" t="n">
        <v>5</v>
      </c>
      <c r="Z6" s="9" t="n">
        <f aca="false">6-W6</f>
        <v>1</v>
      </c>
      <c r="AA6" s="9" t="n">
        <f aca="false">6-X6</f>
        <v>1</v>
      </c>
      <c r="AB6" s="9" t="n">
        <f aca="false">6-Y6</f>
        <v>1</v>
      </c>
      <c r="AC6" s="10" t="n">
        <f aca="false">AVERAGE(H6:J6)</f>
        <v>1</v>
      </c>
      <c r="AD6" s="10" t="n">
        <f aca="false">AVERAGE(K6:M6)</f>
        <v>1</v>
      </c>
      <c r="AE6" s="10" t="n">
        <f aca="false">AVERAGE(P6,S6,V6)</f>
        <v>1</v>
      </c>
      <c r="AF6" s="10" t="n">
        <f aca="false">AVERAGE(Q6,R6)</f>
        <v>1</v>
      </c>
      <c r="AG6" s="10" t="n">
        <f aca="false">AVERAGE(T6,U6)</f>
        <v>1</v>
      </c>
      <c r="AH6" s="10" t="n">
        <f aca="false">AVERAGE(W6:Y6)</f>
        <v>5</v>
      </c>
      <c r="AI6" s="7" t="s">
        <v>59</v>
      </c>
      <c r="AJ6" s="7" t="s">
        <v>59</v>
      </c>
    </row>
    <row r="7" customFormat="false" ht="15" hidden="false" customHeight="true" outlineLevel="0" collapsed="false">
      <c r="A7" s="7" t="n">
        <v>16</v>
      </c>
      <c r="B7" s="8" t="n">
        <v>46293</v>
      </c>
      <c r="C7" s="7" t="s">
        <v>53</v>
      </c>
      <c r="D7" s="7" t="s">
        <v>54</v>
      </c>
      <c r="E7" s="7" t="s">
        <v>55</v>
      </c>
      <c r="F7" s="7" t="s">
        <v>72</v>
      </c>
      <c r="G7" s="7" t="s">
        <v>63</v>
      </c>
      <c r="H7" s="7" t="n">
        <v>5</v>
      </c>
      <c r="I7" s="7" t="n">
        <v>4</v>
      </c>
      <c r="J7" s="7" t="n">
        <v>5</v>
      </c>
      <c r="K7" s="7" t="n">
        <v>4</v>
      </c>
      <c r="L7" s="7" t="n">
        <v>5</v>
      </c>
      <c r="M7" s="7" t="n">
        <v>4</v>
      </c>
      <c r="N7" s="7" t="s">
        <v>66</v>
      </c>
      <c r="O7" s="7" t="n">
        <f aca="false">IF(N7="Never",1,IF(N7="Rarely",2,IF(N7="Monthly",3,IF(N7="Weekly",4,5))))</f>
        <v>4</v>
      </c>
      <c r="P7" s="7" t="n">
        <v>5</v>
      </c>
      <c r="Q7" s="7" t="n">
        <v>4</v>
      </c>
      <c r="R7" s="7" t="n">
        <v>4</v>
      </c>
      <c r="S7" s="7" t="n">
        <v>5</v>
      </c>
      <c r="T7" s="7" t="n">
        <v>4</v>
      </c>
      <c r="U7" s="7" t="n">
        <v>5</v>
      </c>
      <c r="V7" s="7" t="n">
        <v>4</v>
      </c>
      <c r="W7" s="7" t="n">
        <v>3</v>
      </c>
      <c r="X7" s="7" t="n">
        <v>2</v>
      </c>
      <c r="Y7" s="7" t="n">
        <v>3</v>
      </c>
      <c r="Z7" s="9" t="n">
        <f aca="false">6-W7</f>
        <v>3</v>
      </c>
      <c r="AA7" s="9" t="n">
        <f aca="false">6-X7</f>
        <v>4</v>
      </c>
      <c r="AB7" s="9" t="n">
        <f aca="false">6-Y7</f>
        <v>3</v>
      </c>
      <c r="AC7" s="10" t="n">
        <f aca="false">AVERAGE(H7:J7)</f>
        <v>4.66666666666667</v>
      </c>
      <c r="AD7" s="10" t="n">
        <f aca="false">AVERAGE(K7:M7)</f>
        <v>4.33333333333333</v>
      </c>
      <c r="AE7" s="10" t="n">
        <f aca="false">AVERAGE(P7,S7,V7)</f>
        <v>4.66666666666667</v>
      </c>
      <c r="AF7" s="10" t="n">
        <f aca="false">AVERAGE(Q7,R7)</f>
        <v>4</v>
      </c>
      <c r="AG7" s="10" t="n">
        <f aca="false">AVERAGE(T7,U7)</f>
        <v>4.5</v>
      </c>
      <c r="AH7" s="10" t="n">
        <f aca="false">AVERAGE(W7:Y7)</f>
        <v>2.66666666666667</v>
      </c>
      <c r="AI7" s="7" t="s">
        <v>59</v>
      </c>
      <c r="AJ7" s="7" t="s">
        <v>59</v>
      </c>
    </row>
    <row r="8" customFormat="false" ht="15" hidden="false" customHeight="true" outlineLevel="0" collapsed="false">
      <c r="A8" s="7" t="n">
        <v>17</v>
      </c>
      <c r="B8" s="8" t="n">
        <v>46293</v>
      </c>
      <c r="C8" s="7" t="s">
        <v>53</v>
      </c>
      <c r="D8" s="7" t="s">
        <v>61</v>
      </c>
      <c r="E8" s="7" t="s">
        <v>55</v>
      </c>
      <c r="F8" s="7" t="s">
        <v>73</v>
      </c>
      <c r="G8" s="7" t="s">
        <v>57</v>
      </c>
      <c r="H8" s="7" t="n">
        <v>4</v>
      </c>
      <c r="I8" s="7" t="n">
        <v>3</v>
      </c>
      <c r="J8" s="7" t="n">
        <v>4</v>
      </c>
      <c r="K8" s="7" t="n">
        <v>3</v>
      </c>
      <c r="L8" s="7" t="n">
        <v>4</v>
      </c>
      <c r="M8" s="7" t="n">
        <v>3</v>
      </c>
      <c r="N8" s="7" t="s">
        <v>74</v>
      </c>
      <c r="O8" s="7" t="n">
        <f aca="false">IF(N8="Never",1,IF(N8="Rarely",2,IF(N8="Monthly",3,IF(N8="Weekly",4,5))))</f>
        <v>3</v>
      </c>
      <c r="P8" s="7" t="n">
        <v>3</v>
      </c>
      <c r="Q8" s="7" t="n">
        <v>4</v>
      </c>
      <c r="R8" s="7" t="n">
        <v>3</v>
      </c>
      <c r="S8" s="7" t="n">
        <v>4</v>
      </c>
      <c r="T8" s="7" t="n">
        <v>4</v>
      </c>
      <c r="U8" s="7" t="n">
        <v>4</v>
      </c>
      <c r="V8" s="7" t="n">
        <v>4</v>
      </c>
      <c r="W8" s="7" t="n">
        <v>3</v>
      </c>
      <c r="X8" s="7" t="n">
        <v>2</v>
      </c>
      <c r="Y8" s="7" t="n">
        <v>3</v>
      </c>
      <c r="Z8" s="9" t="n">
        <f aca="false">6-W8</f>
        <v>3</v>
      </c>
      <c r="AA8" s="9" t="n">
        <f aca="false">6-X8</f>
        <v>4</v>
      </c>
      <c r="AB8" s="9" t="n">
        <f aca="false">6-Y8</f>
        <v>3</v>
      </c>
      <c r="AC8" s="10" t="n">
        <f aca="false">AVERAGE(H8:J8)</f>
        <v>3.66666666666667</v>
      </c>
      <c r="AD8" s="10" t="n">
        <f aca="false">AVERAGE(K8:M8)</f>
        <v>3.33333333333333</v>
      </c>
      <c r="AE8" s="10" t="n">
        <f aca="false">AVERAGE(P8,S8,V8)</f>
        <v>3.66666666666667</v>
      </c>
      <c r="AF8" s="10" t="n">
        <f aca="false">AVERAGE(Q8,R8)</f>
        <v>3.5</v>
      </c>
      <c r="AG8" s="10" t="n">
        <f aca="false">AVERAGE(T8,U8)</f>
        <v>4</v>
      </c>
      <c r="AH8" s="10" t="n">
        <f aca="false">AVERAGE(W8:Y8)</f>
        <v>2.66666666666667</v>
      </c>
      <c r="AI8" s="7" t="s">
        <v>59</v>
      </c>
      <c r="AJ8" s="7" t="s">
        <v>59</v>
      </c>
    </row>
    <row r="9" customFormat="false" ht="15" hidden="false" customHeight="true" outlineLevel="0" collapsed="false">
      <c r="A9" s="7" t="n">
        <v>19</v>
      </c>
      <c r="B9" s="8" t="n">
        <v>46293</v>
      </c>
      <c r="C9" s="7" t="s">
        <v>60</v>
      </c>
      <c r="D9" s="7" t="s">
        <v>54</v>
      </c>
      <c r="E9" s="7" t="s">
        <v>55</v>
      </c>
      <c r="F9" s="7" t="s">
        <v>62</v>
      </c>
      <c r="G9" s="7" t="s">
        <v>63</v>
      </c>
      <c r="H9" s="7" t="n">
        <v>5</v>
      </c>
      <c r="I9" s="7" t="n">
        <v>5</v>
      </c>
      <c r="J9" s="7" t="n">
        <v>5</v>
      </c>
      <c r="K9" s="7" t="n">
        <v>5</v>
      </c>
      <c r="L9" s="7" t="n">
        <v>5</v>
      </c>
      <c r="M9" s="7" t="n">
        <v>5</v>
      </c>
      <c r="N9" s="7" t="s">
        <v>64</v>
      </c>
      <c r="O9" s="7" t="n">
        <f aca="false">IF(N9="Never",1,IF(N9="Rarely",2,IF(N9="Monthly",3,IF(N9="Weekly",4,5))))</f>
        <v>5</v>
      </c>
      <c r="P9" s="7" t="n">
        <v>5</v>
      </c>
      <c r="Q9" s="7" t="n">
        <v>5</v>
      </c>
      <c r="R9" s="7" t="n">
        <v>5</v>
      </c>
      <c r="S9" s="7" t="n">
        <v>5</v>
      </c>
      <c r="T9" s="7" t="n">
        <v>5</v>
      </c>
      <c r="U9" s="7" t="n">
        <v>5</v>
      </c>
      <c r="V9" s="7" t="n">
        <v>5</v>
      </c>
      <c r="W9" s="7" t="n">
        <v>1</v>
      </c>
      <c r="X9" s="7" t="n">
        <v>1</v>
      </c>
      <c r="Y9" s="7" t="n">
        <v>1</v>
      </c>
      <c r="Z9" s="9" t="n">
        <f aca="false">6-W9</f>
        <v>5</v>
      </c>
      <c r="AA9" s="9" t="n">
        <f aca="false">6-X9</f>
        <v>5</v>
      </c>
      <c r="AB9" s="9" t="n">
        <f aca="false">6-Y9</f>
        <v>5</v>
      </c>
      <c r="AC9" s="10" t="n">
        <f aca="false">AVERAGE(H9:J9)</f>
        <v>5</v>
      </c>
      <c r="AD9" s="10" t="n">
        <f aca="false">AVERAGE(K9:M9)</f>
        <v>5</v>
      </c>
      <c r="AE9" s="10" t="n">
        <f aca="false">AVERAGE(P9,S9,V9)</f>
        <v>5</v>
      </c>
      <c r="AF9" s="10" t="n">
        <f aca="false">AVERAGE(Q9,R9)</f>
        <v>5</v>
      </c>
      <c r="AG9" s="10" t="n">
        <f aca="false">AVERAGE(T9,U9)</f>
        <v>5</v>
      </c>
      <c r="AH9" s="10" t="n">
        <f aca="false">AVERAGE(W9:Y9)</f>
        <v>1</v>
      </c>
      <c r="AI9" s="7" t="s">
        <v>59</v>
      </c>
      <c r="AJ9" s="7" t="s">
        <v>59</v>
      </c>
    </row>
    <row r="10" customFormat="false" ht="15" hidden="false" customHeight="true" outlineLevel="0" collapsed="false">
      <c r="A10" s="7" t="n">
        <v>20</v>
      </c>
      <c r="B10" s="8" t="n">
        <v>46293</v>
      </c>
      <c r="C10" s="7" t="s">
        <v>75</v>
      </c>
      <c r="D10" s="7" t="s">
        <v>61</v>
      </c>
      <c r="E10" s="7" t="s">
        <v>55</v>
      </c>
      <c r="F10" s="7" t="s">
        <v>65</v>
      </c>
      <c r="G10" s="7" t="s">
        <v>57</v>
      </c>
      <c r="H10" s="7" t="n">
        <v>4</v>
      </c>
      <c r="I10" s="7" t="n">
        <v>4</v>
      </c>
      <c r="J10" s="7" t="n">
        <v>4</v>
      </c>
      <c r="K10" s="7" t="n">
        <v>4</v>
      </c>
      <c r="L10" s="7" t="n">
        <v>4</v>
      </c>
      <c r="M10" s="7" t="n">
        <v>4</v>
      </c>
      <c r="N10" s="7" t="s">
        <v>66</v>
      </c>
      <c r="O10" s="7" t="n">
        <f aca="false">IF(N10="Never",1,IF(N10="Rarely",2,IF(N10="Monthly",3,IF(N10="Weekly",4,5))))</f>
        <v>4</v>
      </c>
      <c r="P10" s="7" t="n">
        <v>4</v>
      </c>
      <c r="Q10" s="7" t="n">
        <v>4</v>
      </c>
      <c r="R10" s="7" t="n">
        <v>4</v>
      </c>
      <c r="S10" s="7" t="n">
        <v>4</v>
      </c>
      <c r="T10" s="7" t="n">
        <v>4</v>
      </c>
      <c r="U10" s="7" t="n">
        <v>4</v>
      </c>
      <c r="V10" s="7" t="n">
        <v>4</v>
      </c>
      <c r="W10" s="7" t="n">
        <v>4</v>
      </c>
      <c r="X10" s="7" t="n">
        <v>2</v>
      </c>
      <c r="Y10" s="7" t="n">
        <v>2</v>
      </c>
      <c r="Z10" s="9" t="n">
        <f aca="false">6-W10</f>
        <v>2</v>
      </c>
      <c r="AA10" s="9" t="n">
        <f aca="false">6-X10</f>
        <v>4</v>
      </c>
      <c r="AB10" s="9" t="n">
        <f aca="false">6-Y10</f>
        <v>4</v>
      </c>
      <c r="AC10" s="10" t="n">
        <f aca="false">AVERAGE(H10:J10)</f>
        <v>4</v>
      </c>
      <c r="AD10" s="10" t="n">
        <f aca="false">AVERAGE(K10:M10)</f>
        <v>4</v>
      </c>
      <c r="AE10" s="10" t="n">
        <f aca="false">AVERAGE(P10,S10,V10)</f>
        <v>4</v>
      </c>
      <c r="AF10" s="10" t="n">
        <f aca="false">AVERAGE(Q10,R10)</f>
        <v>4</v>
      </c>
      <c r="AG10" s="10" t="n">
        <f aca="false">AVERAGE(T10,U10)</f>
        <v>4</v>
      </c>
      <c r="AH10" s="10" t="n">
        <f aca="false">AVERAGE(W10:Y10)</f>
        <v>2.66666666666667</v>
      </c>
      <c r="AI10" s="7" t="s">
        <v>59</v>
      </c>
      <c r="AJ10" s="7" t="s">
        <v>59</v>
      </c>
    </row>
    <row r="11" customFormat="false" ht="15" hidden="false" customHeight="true" outlineLevel="0" collapsed="false">
      <c r="A11" s="7" t="n">
        <v>21</v>
      </c>
      <c r="B11" s="8" t="n">
        <v>46293</v>
      </c>
      <c r="C11" s="7" t="s">
        <v>53</v>
      </c>
      <c r="D11" s="7" t="s">
        <v>54</v>
      </c>
      <c r="E11" s="7" t="s">
        <v>55</v>
      </c>
      <c r="F11" s="7" t="s">
        <v>76</v>
      </c>
      <c r="G11" s="7" t="s">
        <v>57</v>
      </c>
      <c r="H11" s="7" t="n">
        <v>3</v>
      </c>
      <c r="I11" s="7" t="n">
        <v>3</v>
      </c>
      <c r="J11" s="7" t="n">
        <v>3</v>
      </c>
      <c r="K11" s="7" t="n">
        <v>3</v>
      </c>
      <c r="L11" s="7" t="n">
        <v>3</v>
      </c>
      <c r="M11" s="7" t="n">
        <v>3</v>
      </c>
      <c r="N11" s="7" t="s">
        <v>74</v>
      </c>
      <c r="O11" s="7" t="n">
        <f aca="false">IF(N11="Never",1,IF(N11="Rarely",2,IF(N11="Monthly",3,IF(N11="Weekly",4,5))))</f>
        <v>3</v>
      </c>
      <c r="P11" s="7" t="n">
        <v>3</v>
      </c>
      <c r="Q11" s="7" t="n">
        <v>3</v>
      </c>
      <c r="R11" s="7" t="n">
        <v>3</v>
      </c>
      <c r="S11" s="7" t="n">
        <v>3</v>
      </c>
      <c r="T11" s="7" t="n">
        <v>3</v>
      </c>
      <c r="U11" s="7" t="n">
        <v>3</v>
      </c>
      <c r="V11" s="7" t="n">
        <v>3</v>
      </c>
      <c r="W11" s="7" t="n">
        <v>2</v>
      </c>
      <c r="X11" s="7" t="n">
        <v>2</v>
      </c>
      <c r="Y11" s="7" t="n">
        <v>2</v>
      </c>
      <c r="Z11" s="9" t="n">
        <f aca="false">6-W11</f>
        <v>4</v>
      </c>
      <c r="AA11" s="9" t="n">
        <f aca="false">6-X11</f>
        <v>4</v>
      </c>
      <c r="AB11" s="9" t="n">
        <f aca="false">6-Y11</f>
        <v>4</v>
      </c>
      <c r="AC11" s="10" t="n">
        <f aca="false">AVERAGE(H11:J11)</f>
        <v>3</v>
      </c>
      <c r="AD11" s="10" t="n">
        <f aca="false">AVERAGE(K11:M11)</f>
        <v>3</v>
      </c>
      <c r="AE11" s="10" t="n">
        <f aca="false">AVERAGE(P11,S11,V11)</f>
        <v>3</v>
      </c>
      <c r="AF11" s="10" t="n">
        <f aca="false">AVERAGE(Q11,R11)</f>
        <v>3</v>
      </c>
      <c r="AG11" s="10" t="n">
        <f aca="false">AVERAGE(T11,U11)</f>
        <v>3</v>
      </c>
      <c r="AH11" s="10" t="n">
        <f aca="false">AVERAGE(W11:Y11)</f>
        <v>2</v>
      </c>
      <c r="AI11" s="7" t="s">
        <v>59</v>
      </c>
      <c r="AJ11" s="7" t="s">
        <v>59</v>
      </c>
    </row>
    <row r="12" customFormat="false" ht="15" hidden="false" customHeight="true" outlineLevel="0" collapsed="false">
      <c r="A12" s="7" t="n">
        <v>22</v>
      </c>
      <c r="B12" s="8" t="n">
        <v>46293</v>
      </c>
      <c r="C12" s="7" t="s">
        <v>60</v>
      </c>
      <c r="D12" s="7" t="s">
        <v>54</v>
      </c>
      <c r="E12" s="7" t="s">
        <v>55</v>
      </c>
      <c r="F12" s="7" t="s">
        <v>73</v>
      </c>
      <c r="G12" s="7" t="s">
        <v>57</v>
      </c>
      <c r="H12" s="7" t="n">
        <v>4</v>
      </c>
      <c r="I12" s="7" t="n">
        <v>4</v>
      </c>
      <c r="J12" s="7" t="n">
        <v>4</v>
      </c>
      <c r="K12" s="7" t="n">
        <v>4</v>
      </c>
      <c r="L12" s="7" t="n">
        <v>4</v>
      </c>
      <c r="M12" s="7" t="n">
        <v>4</v>
      </c>
      <c r="N12" s="7" t="s">
        <v>66</v>
      </c>
      <c r="O12" s="7" t="n">
        <f aca="false">IF(N12="Never",1,IF(N12="Rarely",2,IF(N12="Monthly",3,IF(N12="Weekly",4,5))))</f>
        <v>4</v>
      </c>
      <c r="P12" s="7" t="n">
        <v>4</v>
      </c>
      <c r="Q12" s="7" t="n">
        <v>4</v>
      </c>
      <c r="R12" s="7" t="n">
        <v>4</v>
      </c>
      <c r="S12" s="7" t="n">
        <v>4</v>
      </c>
      <c r="T12" s="7" t="n">
        <v>4</v>
      </c>
      <c r="U12" s="7" t="n">
        <v>4</v>
      </c>
      <c r="V12" s="7" t="n">
        <v>4</v>
      </c>
      <c r="W12" s="7" t="n">
        <v>1</v>
      </c>
      <c r="X12" s="7" t="n">
        <v>1</v>
      </c>
      <c r="Y12" s="7" t="n">
        <v>1</v>
      </c>
      <c r="Z12" s="9" t="n">
        <f aca="false">6-W12</f>
        <v>5</v>
      </c>
      <c r="AA12" s="9" t="n">
        <f aca="false">6-X12</f>
        <v>5</v>
      </c>
      <c r="AB12" s="9" t="n">
        <f aca="false">6-Y12</f>
        <v>5</v>
      </c>
      <c r="AC12" s="10" t="n">
        <f aca="false">AVERAGE(H12:J12)</f>
        <v>4</v>
      </c>
      <c r="AD12" s="10" t="n">
        <f aca="false">AVERAGE(K12:M12)</f>
        <v>4</v>
      </c>
      <c r="AE12" s="10" t="n">
        <f aca="false">AVERAGE(P12,S12,V12)</f>
        <v>4</v>
      </c>
      <c r="AF12" s="10" t="n">
        <f aca="false">AVERAGE(Q12,R12)</f>
        <v>4</v>
      </c>
      <c r="AG12" s="10" t="n">
        <f aca="false">AVERAGE(T12,U12)</f>
        <v>4</v>
      </c>
      <c r="AH12" s="10" t="n">
        <f aca="false">AVERAGE(W12:Y12)</f>
        <v>1</v>
      </c>
      <c r="AI12" s="7" t="s">
        <v>59</v>
      </c>
      <c r="AJ12" s="7" t="s">
        <v>59</v>
      </c>
    </row>
    <row r="13" customFormat="false" ht="15" hidden="false" customHeight="true" outlineLevel="0" collapsed="false">
      <c r="A13" s="7" t="n">
        <v>23</v>
      </c>
      <c r="B13" s="8" t="n">
        <v>46293</v>
      </c>
      <c r="C13" s="7" t="s">
        <v>60</v>
      </c>
      <c r="D13" s="7" t="s">
        <v>54</v>
      </c>
      <c r="E13" s="7" t="s">
        <v>55</v>
      </c>
      <c r="F13" s="7" t="s">
        <v>77</v>
      </c>
      <c r="G13" s="7" t="s">
        <v>63</v>
      </c>
      <c r="H13" s="7" t="n">
        <v>3</v>
      </c>
      <c r="I13" s="7" t="n">
        <v>3</v>
      </c>
      <c r="J13" s="7" t="n">
        <v>3</v>
      </c>
      <c r="K13" s="7" t="n">
        <v>3</v>
      </c>
      <c r="L13" s="7" t="n">
        <v>3</v>
      </c>
      <c r="M13" s="7" t="n">
        <v>3</v>
      </c>
      <c r="N13" s="7" t="s">
        <v>74</v>
      </c>
      <c r="O13" s="7" t="n">
        <f aca="false">IF(N13="Never",1,IF(N13="Rarely",2,IF(N13="Monthly",3,IF(N13="Weekly",4,5))))</f>
        <v>3</v>
      </c>
      <c r="P13" s="7" t="n">
        <v>3</v>
      </c>
      <c r="Q13" s="7" t="n">
        <v>3</v>
      </c>
      <c r="R13" s="7" t="n">
        <v>3</v>
      </c>
      <c r="S13" s="7" t="n">
        <v>3</v>
      </c>
      <c r="T13" s="7" t="n">
        <v>3</v>
      </c>
      <c r="U13" s="7" t="n">
        <v>3</v>
      </c>
      <c r="V13" s="7" t="n">
        <v>3</v>
      </c>
      <c r="W13" s="7" t="n">
        <v>2</v>
      </c>
      <c r="X13" s="7" t="n">
        <v>2</v>
      </c>
      <c r="Y13" s="7" t="n">
        <v>2</v>
      </c>
      <c r="Z13" s="9" t="n">
        <f aca="false">6-W13</f>
        <v>4</v>
      </c>
      <c r="AA13" s="9" t="n">
        <f aca="false">6-X13</f>
        <v>4</v>
      </c>
      <c r="AB13" s="9" t="n">
        <f aca="false">6-Y13</f>
        <v>4</v>
      </c>
      <c r="AC13" s="10" t="n">
        <f aca="false">AVERAGE(H13:J13)</f>
        <v>3</v>
      </c>
      <c r="AD13" s="10" t="n">
        <f aca="false">AVERAGE(K13:M13)</f>
        <v>3</v>
      </c>
      <c r="AE13" s="10" t="n">
        <f aca="false">AVERAGE(P13,S13,V13)</f>
        <v>3</v>
      </c>
      <c r="AF13" s="10" t="n">
        <f aca="false">AVERAGE(Q13,R13)</f>
        <v>3</v>
      </c>
      <c r="AG13" s="10" t="n">
        <f aca="false">AVERAGE(T13,U13)</f>
        <v>3</v>
      </c>
      <c r="AH13" s="10" t="n">
        <f aca="false">AVERAGE(W13:Y13)</f>
        <v>2</v>
      </c>
      <c r="AI13" s="7" t="s">
        <v>59</v>
      </c>
      <c r="AJ13" s="7" t="s">
        <v>59</v>
      </c>
    </row>
    <row r="14" customFormat="false" ht="15" hidden="false" customHeight="true" outlineLevel="0" collapsed="false">
      <c r="A14" s="7" t="n">
        <v>24</v>
      </c>
      <c r="B14" s="8" t="n">
        <v>46293</v>
      </c>
      <c r="C14" s="7" t="s">
        <v>60</v>
      </c>
      <c r="D14" s="7" t="s">
        <v>61</v>
      </c>
      <c r="E14" s="7" t="s">
        <v>55</v>
      </c>
      <c r="F14" s="7" t="s">
        <v>67</v>
      </c>
      <c r="G14" s="7" t="s">
        <v>68</v>
      </c>
      <c r="H14" s="7" t="n">
        <v>4</v>
      </c>
      <c r="I14" s="7" t="n">
        <v>4</v>
      </c>
      <c r="J14" s="7" t="n">
        <v>4</v>
      </c>
      <c r="K14" s="7" t="n">
        <v>4</v>
      </c>
      <c r="L14" s="7" t="n">
        <v>4</v>
      </c>
      <c r="M14" s="7" t="n">
        <v>4</v>
      </c>
      <c r="N14" s="7" t="s">
        <v>66</v>
      </c>
      <c r="O14" s="7" t="n">
        <f aca="false">IF(N14="Never",1,IF(N14="Rarely",2,IF(N14="Monthly",3,IF(N14="Weekly",4,5))))</f>
        <v>4</v>
      </c>
      <c r="P14" s="7" t="n">
        <v>4</v>
      </c>
      <c r="Q14" s="7" t="n">
        <v>4</v>
      </c>
      <c r="R14" s="7" t="n">
        <v>4</v>
      </c>
      <c r="S14" s="7" t="n">
        <v>4</v>
      </c>
      <c r="T14" s="7" t="n">
        <v>4</v>
      </c>
      <c r="U14" s="7" t="n">
        <v>4</v>
      </c>
      <c r="V14" s="7" t="n">
        <v>4</v>
      </c>
      <c r="W14" s="7" t="n">
        <v>2</v>
      </c>
      <c r="X14" s="7" t="n">
        <v>2</v>
      </c>
      <c r="Y14" s="7" t="n">
        <v>2</v>
      </c>
      <c r="Z14" s="9" t="n">
        <f aca="false">6-W14</f>
        <v>4</v>
      </c>
      <c r="AA14" s="9" t="n">
        <f aca="false">6-X14</f>
        <v>4</v>
      </c>
      <c r="AB14" s="9" t="n">
        <f aca="false">6-Y14</f>
        <v>4</v>
      </c>
      <c r="AC14" s="10" t="n">
        <f aca="false">AVERAGE(H14:J14)</f>
        <v>4</v>
      </c>
      <c r="AD14" s="10" t="n">
        <f aca="false">AVERAGE(K14:M14)</f>
        <v>4</v>
      </c>
      <c r="AE14" s="10" t="n">
        <f aca="false">AVERAGE(P14,S14,V14)</f>
        <v>4</v>
      </c>
      <c r="AF14" s="10" t="n">
        <f aca="false">AVERAGE(Q14,R14)</f>
        <v>4</v>
      </c>
      <c r="AG14" s="10" t="n">
        <f aca="false">AVERAGE(T14,U14)</f>
        <v>4</v>
      </c>
      <c r="AH14" s="10" t="n">
        <f aca="false">AVERAGE(W14:Y14)</f>
        <v>2</v>
      </c>
      <c r="AI14" s="7" t="s">
        <v>59</v>
      </c>
      <c r="AJ14" s="7" t="s">
        <v>59</v>
      </c>
    </row>
    <row r="15" customFormat="false" ht="15" hidden="false" customHeight="true" outlineLevel="0" collapsed="false">
      <c r="A15" s="7" t="n">
        <v>51</v>
      </c>
      <c r="B15" s="8" t="n">
        <v>46294</v>
      </c>
      <c r="C15" s="7" t="s">
        <v>75</v>
      </c>
      <c r="D15" s="7" t="s">
        <v>54</v>
      </c>
      <c r="E15" s="7" t="s">
        <v>55</v>
      </c>
      <c r="F15" s="7" t="s">
        <v>62</v>
      </c>
      <c r="G15" s="7" t="s">
        <v>63</v>
      </c>
      <c r="H15" s="7" t="n">
        <v>3</v>
      </c>
      <c r="I15" s="7" t="n">
        <v>4</v>
      </c>
      <c r="J15" s="7" t="n">
        <v>3</v>
      </c>
      <c r="K15" s="7" t="n">
        <v>5</v>
      </c>
      <c r="L15" s="7" t="n">
        <v>3</v>
      </c>
      <c r="M15" s="7" t="n">
        <v>2</v>
      </c>
      <c r="N15" s="7" t="s">
        <v>66</v>
      </c>
      <c r="O15" s="7" t="n">
        <f aca="false">IF(N15="Never",1,IF(N15="Rarely",2,IF(N15="Monthly",3,IF(N15="Weekly",4,5))))</f>
        <v>4</v>
      </c>
      <c r="P15" s="7" t="n">
        <v>4</v>
      </c>
      <c r="Q15" s="7" t="n">
        <v>4</v>
      </c>
      <c r="R15" s="7" t="n">
        <v>4</v>
      </c>
      <c r="S15" s="7" t="n">
        <v>3</v>
      </c>
      <c r="T15" s="7" t="n">
        <v>3</v>
      </c>
      <c r="U15" s="7" t="n">
        <v>4</v>
      </c>
      <c r="V15" s="7" t="n">
        <v>4</v>
      </c>
      <c r="W15" s="7" t="n">
        <v>3</v>
      </c>
      <c r="X15" s="7" t="n">
        <v>2</v>
      </c>
      <c r="Y15" s="7" t="n">
        <v>3</v>
      </c>
      <c r="Z15" s="9" t="n">
        <f aca="false">6-W15</f>
        <v>3</v>
      </c>
      <c r="AA15" s="9" t="n">
        <f aca="false">6-X15</f>
        <v>4</v>
      </c>
      <c r="AB15" s="9" t="n">
        <f aca="false">6-Y15</f>
        <v>3</v>
      </c>
      <c r="AC15" s="10" t="n">
        <f aca="false">AVERAGE(H15:J15)</f>
        <v>3.33333333333333</v>
      </c>
      <c r="AD15" s="10" t="n">
        <f aca="false">AVERAGE(K15:M15)</f>
        <v>3.33333333333333</v>
      </c>
      <c r="AE15" s="10" t="n">
        <f aca="false">AVERAGE(P15,S15,V15)</f>
        <v>3.66666666666667</v>
      </c>
      <c r="AF15" s="10" t="n">
        <f aca="false">AVERAGE(Q15,R15)</f>
        <v>4</v>
      </c>
      <c r="AG15" s="10" t="n">
        <f aca="false">AVERAGE(T15,U15)</f>
        <v>3.5</v>
      </c>
      <c r="AH15" s="10" t="n">
        <f aca="false">AVERAGE(W15:Y15)</f>
        <v>2.66666666666667</v>
      </c>
      <c r="AI15" s="7" t="s">
        <v>59</v>
      </c>
      <c r="AJ15" s="7" t="s">
        <v>59</v>
      </c>
    </row>
    <row r="16" customFormat="false" ht="15" hidden="false" customHeight="true" outlineLevel="0" collapsed="false">
      <c r="A16" s="7" t="n">
        <v>52</v>
      </c>
      <c r="B16" s="8" t="n">
        <v>46294</v>
      </c>
      <c r="C16" s="7" t="s">
        <v>75</v>
      </c>
      <c r="D16" s="7" t="s">
        <v>54</v>
      </c>
      <c r="E16" s="7" t="s">
        <v>55</v>
      </c>
      <c r="F16" s="7" t="s">
        <v>65</v>
      </c>
      <c r="G16" s="7" t="s">
        <v>57</v>
      </c>
      <c r="H16" s="7" t="n">
        <v>4</v>
      </c>
      <c r="I16" s="7" t="n">
        <v>3</v>
      </c>
      <c r="J16" s="7" t="n">
        <v>5</v>
      </c>
      <c r="K16" s="7" t="n">
        <v>3</v>
      </c>
      <c r="L16" s="7" t="n">
        <v>4</v>
      </c>
      <c r="M16" s="7" t="n">
        <v>2</v>
      </c>
      <c r="N16" s="7" t="s">
        <v>66</v>
      </c>
      <c r="O16" s="7" t="n">
        <f aca="false">IF(N16="Never",1,IF(N16="Rarely",2,IF(N16="Monthly",3,IF(N16="Weekly",4,5))))</f>
        <v>4</v>
      </c>
      <c r="P16" s="7" t="n">
        <v>4</v>
      </c>
      <c r="Q16" s="7" t="n">
        <v>5</v>
      </c>
      <c r="R16" s="7" t="n">
        <v>3</v>
      </c>
      <c r="S16" s="7" t="n">
        <v>5</v>
      </c>
      <c r="T16" s="7" t="n">
        <v>5</v>
      </c>
      <c r="U16" s="7" t="n">
        <v>4</v>
      </c>
      <c r="V16" s="7" t="n">
        <v>4</v>
      </c>
      <c r="W16" s="7" t="n">
        <v>3</v>
      </c>
      <c r="X16" s="7" t="n">
        <v>2</v>
      </c>
      <c r="Y16" s="7" t="n">
        <v>1</v>
      </c>
      <c r="Z16" s="9" t="n">
        <f aca="false">6-W16</f>
        <v>3</v>
      </c>
      <c r="AA16" s="9" t="n">
        <f aca="false">6-X16</f>
        <v>4</v>
      </c>
      <c r="AB16" s="9" t="n">
        <f aca="false">6-Y16</f>
        <v>5</v>
      </c>
      <c r="AC16" s="10" t="n">
        <f aca="false">AVERAGE(H16:J16)</f>
        <v>4</v>
      </c>
      <c r="AD16" s="10" t="n">
        <f aca="false">AVERAGE(K16:M16)</f>
        <v>3</v>
      </c>
      <c r="AE16" s="10" t="n">
        <f aca="false">AVERAGE(P16,S16,V16)</f>
        <v>4.33333333333333</v>
      </c>
      <c r="AF16" s="10" t="n">
        <f aca="false">AVERAGE(Q16,R16)</f>
        <v>4</v>
      </c>
      <c r="AG16" s="10" t="n">
        <f aca="false">AVERAGE(T16,U16)</f>
        <v>4.5</v>
      </c>
      <c r="AH16" s="10" t="n">
        <f aca="false">AVERAGE(W16:Y16)</f>
        <v>2</v>
      </c>
      <c r="AI16" s="7" t="s">
        <v>59</v>
      </c>
      <c r="AJ16" s="7" t="s">
        <v>59</v>
      </c>
    </row>
    <row r="17" customFormat="false" ht="15" hidden="false" customHeight="true" outlineLevel="0" collapsed="false">
      <c r="A17" s="7" t="n">
        <v>53</v>
      </c>
      <c r="B17" s="8" t="n">
        <v>46294</v>
      </c>
      <c r="C17" s="7" t="s">
        <v>75</v>
      </c>
      <c r="D17" s="7" t="s">
        <v>61</v>
      </c>
      <c r="E17" s="7" t="s">
        <v>55</v>
      </c>
      <c r="F17" s="7" t="s">
        <v>62</v>
      </c>
      <c r="G17" s="7" t="s">
        <v>63</v>
      </c>
      <c r="H17" s="7" t="n">
        <v>4</v>
      </c>
      <c r="I17" s="7" t="n">
        <v>2</v>
      </c>
      <c r="J17" s="7" t="n">
        <v>4</v>
      </c>
      <c r="K17" s="7" t="n">
        <v>3</v>
      </c>
      <c r="L17" s="7" t="n">
        <v>4</v>
      </c>
      <c r="M17" s="7" t="n">
        <v>5</v>
      </c>
      <c r="N17" s="7" t="s">
        <v>64</v>
      </c>
      <c r="O17" s="7" t="n">
        <f aca="false">IF(N17="Never",1,IF(N17="Rarely",2,IF(N17="Monthly",3,IF(N17="Weekly",4,5))))</f>
        <v>5</v>
      </c>
      <c r="P17" s="7" t="n">
        <v>5</v>
      </c>
      <c r="Q17" s="7" t="n">
        <v>4</v>
      </c>
      <c r="R17" s="7" t="n">
        <v>2</v>
      </c>
      <c r="S17" s="7" t="n">
        <v>4</v>
      </c>
      <c r="T17" s="7" t="n">
        <v>4</v>
      </c>
      <c r="U17" s="7" t="n">
        <v>2</v>
      </c>
      <c r="V17" s="7" t="n">
        <v>4</v>
      </c>
      <c r="W17" s="7" t="n">
        <v>2</v>
      </c>
      <c r="X17" s="7" t="n">
        <v>4</v>
      </c>
      <c r="Y17" s="7" t="n">
        <v>5</v>
      </c>
      <c r="Z17" s="9" t="n">
        <f aca="false">6-W17</f>
        <v>4</v>
      </c>
      <c r="AA17" s="9" t="n">
        <f aca="false">6-X17</f>
        <v>2</v>
      </c>
      <c r="AB17" s="9" t="n">
        <f aca="false">6-Y17</f>
        <v>1</v>
      </c>
      <c r="AC17" s="10" t="n">
        <f aca="false">AVERAGE(H17:J17)</f>
        <v>3.33333333333333</v>
      </c>
      <c r="AD17" s="10" t="n">
        <f aca="false">AVERAGE(K17:M17)</f>
        <v>4</v>
      </c>
      <c r="AE17" s="10" t="n">
        <f aca="false">AVERAGE(P17,S17,V17)</f>
        <v>4.33333333333333</v>
      </c>
      <c r="AF17" s="10" t="n">
        <f aca="false">AVERAGE(Q17,R17)</f>
        <v>3</v>
      </c>
      <c r="AG17" s="10" t="n">
        <f aca="false">AVERAGE(T17,U17)</f>
        <v>3</v>
      </c>
      <c r="AH17" s="10" t="n">
        <f aca="false">AVERAGE(W17:Y17)</f>
        <v>3.66666666666667</v>
      </c>
      <c r="AI17" s="7" t="s">
        <v>59</v>
      </c>
      <c r="AJ17" s="7" t="s">
        <v>59</v>
      </c>
    </row>
    <row r="18" customFormat="false" ht="15" hidden="false" customHeight="true" outlineLevel="0" collapsed="false">
      <c r="A18" s="7" t="n">
        <v>54</v>
      </c>
      <c r="B18" s="8" t="n">
        <v>46294</v>
      </c>
      <c r="C18" s="7" t="s">
        <v>75</v>
      </c>
      <c r="D18" s="7" t="s">
        <v>61</v>
      </c>
      <c r="E18" s="7" t="s">
        <v>55</v>
      </c>
      <c r="F18" s="7" t="s">
        <v>73</v>
      </c>
      <c r="G18" s="7" t="s">
        <v>57</v>
      </c>
      <c r="H18" s="7" t="n">
        <v>3</v>
      </c>
      <c r="I18" s="7" t="n">
        <v>4</v>
      </c>
      <c r="J18" s="7" t="n">
        <v>3</v>
      </c>
      <c r="K18" s="7" t="n">
        <v>5</v>
      </c>
      <c r="L18" s="7" t="n">
        <v>3</v>
      </c>
      <c r="M18" s="7" t="n">
        <v>4</v>
      </c>
      <c r="N18" s="7" t="s">
        <v>64</v>
      </c>
      <c r="O18" s="7" t="n">
        <f aca="false">IF(N18="Never",1,IF(N18="Rarely",2,IF(N18="Monthly",3,IF(N18="Weekly",4,5))))</f>
        <v>5</v>
      </c>
      <c r="P18" s="7" t="n">
        <v>5</v>
      </c>
      <c r="Q18" s="7" t="n">
        <v>3</v>
      </c>
      <c r="R18" s="7" t="n">
        <v>5</v>
      </c>
      <c r="S18" s="7" t="n">
        <v>5</v>
      </c>
      <c r="T18" s="7" t="n">
        <v>4</v>
      </c>
      <c r="U18" s="7" t="n">
        <v>3</v>
      </c>
      <c r="V18" s="7" t="n">
        <v>4</v>
      </c>
      <c r="W18" s="7" t="n">
        <v>2</v>
      </c>
      <c r="X18" s="7" t="n">
        <v>4</v>
      </c>
      <c r="Y18" s="7" t="n">
        <v>3</v>
      </c>
      <c r="Z18" s="9" t="n">
        <f aca="false">6-W18</f>
        <v>4</v>
      </c>
      <c r="AA18" s="9" t="n">
        <f aca="false">6-X18</f>
        <v>2</v>
      </c>
      <c r="AB18" s="9" t="n">
        <f aca="false">6-Y18</f>
        <v>3</v>
      </c>
      <c r="AC18" s="10" t="n">
        <f aca="false">AVERAGE(H18:J18)</f>
        <v>3.33333333333333</v>
      </c>
      <c r="AD18" s="10" t="n">
        <f aca="false">AVERAGE(K18:M18)</f>
        <v>4</v>
      </c>
      <c r="AE18" s="10" t="n">
        <f aca="false">AVERAGE(P18,S18,V18)</f>
        <v>4.66666666666667</v>
      </c>
      <c r="AF18" s="10" t="n">
        <f aca="false">AVERAGE(Q18,R18)</f>
        <v>4</v>
      </c>
      <c r="AG18" s="10" t="n">
        <f aca="false">AVERAGE(T18,U18)</f>
        <v>3.5</v>
      </c>
      <c r="AH18" s="10" t="n">
        <f aca="false">AVERAGE(W18:Y18)</f>
        <v>3</v>
      </c>
      <c r="AI18" s="7" t="s">
        <v>59</v>
      </c>
      <c r="AJ18" s="7" t="s">
        <v>59</v>
      </c>
    </row>
    <row r="19" customFormat="false" ht="15" hidden="false" customHeight="true" outlineLevel="0" collapsed="false">
      <c r="A19" s="7" t="n">
        <v>55</v>
      </c>
      <c r="B19" s="8" t="n">
        <v>46294</v>
      </c>
      <c r="C19" s="7" t="s">
        <v>75</v>
      </c>
      <c r="D19" s="7" t="s">
        <v>54</v>
      </c>
      <c r="E19" s="7" t="s">
        <v>55</v>
      </c>
      <c r="F19" s="7" t="s">
        <v>65</v>
      </c>
      <c r="G19" s="7" t="s">
        <v>57</v>
      </c>
      <c r="H19" s="7" t="n">
        <v>4</v>
      </c>
      <c r="I19" s="7" t="n">
        <v>5</v>
      </c>
      <c r="J19" s="7" t="n">
        <v>4</v>
      </c>
      <c r="K19" s="7" t="n">
        <v>3</v>
      </c>
      <c r="L19" s="7" t="n">
        <v>5</v>
      </c>
      <c r="M19" s="7" t="n">
        <v>4</v>
      </c>
      <c r="N19" s="7" t="s">
        <v>74</v>
      </c>
      <c r="O19" s="7" t="n">
        <f aca="false">IF(N19="Never",1,IF(N19="Rarely",2,IF(N19="Monthly",3,IF(N19="Weekly",4,5))))</f>
        <v>3</v>
      </c>
      <c r="P19" s="7" t="n">
        <v>5</v>
      </c>
      <c r="Q19" s="7" t="n">
        <v>2</v>
      </c>
      <c r="R19" s="7" t="n">
        <v>3</v>
      </c>
      <c r="S19" s="7" t="n">
        <v>5</v>
      </c>
      <c r="T19" s="7" t="n">
        <v>4</v>
      </c>
      <c r="U19" s="7" t="n">
        <v>3</v>
      </c>
      <c r="V19" s="7" t="n">
        <v>4</v>
      </c>
      <c r="W19" s="7" t="n">
        <v>4</v>
      </c>
      <c r="X19" s="7" t="n">
        <v>1</v>
      </c>
      <c r="Y19" s="7" t="n">
        <v>3</v>
      </c>
      <c r="Z19" s="9" t="n">
        <f aca="false">6-W19</f>
        <v>2</v>
      </c>
      <c r="AA19" s="9" t="n">
        <f aca="false">6-X19</f>
        <v>5</v>
      </c>
      <c r="AB19" s="9" t="n">
        <f aca="false">6-Y19</f>
        <v>3</v>
      </c>
      <c r="AC19" s="10" t="n">
        <f aca="false">AVERAGE(H19:J19)</f>
        <v>4.33333333333333</v>
      </c>
      <c r="AD19" s="10" t="n">
        <f aca="false">AVERAGE(K19:M19)</f>
        <v>4</v>
      </c>
      <c r="AE19" s="10" t="n">
        <f aca="false">AVERAGE(P19,S19,V19)</f>
        <v>4.66666666666667</v>
      </c>
      <c r="AF19" s="10" t="n">
        <f aca="false">AVERAGE(Q19,R19)</f>
        <v>2.5</v>
      </c>
      <c r="AG19" s="10" t="n">
        <f aca="false">AVERAGE(T19,U19)</f>
        <v>3.5</v>
      </c>
      <c r="AH19" s="10" t="n">
        <f aca="false">AVERAGE(W19:Y19)</f>
        <v>2.66666666666667</v>
      </c>
      <c r="AI19" s="7" t="s">
        <v>59</v>
      </c>
      <c r="AJ19" s="7" t="s">
        <v>59</v>
      </c>
    </row>
    <row r="20" customFormat="false" ht="15" hidden="false" customHeight="true" outlineLevel="0" collapsed="false">
      <c r="A20" s="7" t="n">
        <v>56</v>
      </c>
      <c r="B20" s="8" t="n">
        <v>46294</v>
      </c>
      <c r="C20" s="7" t="s">
        <v>60</v>
      </c>
      <c r="D20" s="7" t="s">
        <v>61</v>
      </c>
      <c r="E20" s="7" t="s">
        <v>55</v>
      </c>
      <c r="F20" s="7" t="s">
        <v>62</v>
      </c>
      <c r="G20" s="7" t="s">
        <v>63</v>
      </c>
      <c r="H20" s="7" t="n">
        <v>5</v>
      </c>
      <c r="I20" s="7" t="n">
        <v>3</v>
      </c>
      <c r="J20" s="7" t="n">
        <v>2</v>
      </c>
      <c r="K20" s="7" t="n">
        <v>5</v>
      </c>
      <c r="L20" s="7" t="n">
        <v>4</v>
      </c>
      <c r="M20" s="7" t="n">
        <v>3</v>
      </c>
      <c r="N20" s="7" t="s">
        <v>66</v>
      </c>
      <c r="O20" s="7" t="n">
        <f aca="false">IF(N20="Never",1,IF(N20="Rarely",2,IF(N20="Monthly",3,IF(N20="Weekly",4,5))))</f>
        <v>4</v>
      </c>
      <c r="P20" s="7" t="n">
        <v>4</v>
      </c>
      <c r="Q20" s="7" t="n">
        <v>5</v>
      </c>
      <c r="R20" s="7" t="n">
        <v>2</v>
      </c>
      <c r="S20" s="7" t="n">
        <v>4</v>
      </c>
      <c r="T20" s="7" t="n">
        <v>3</v>
      </c>
      <c r="U20" s="7" t="n">
        <v>5</v>
      </c>
      <c r="V20" s="7" t="n">
        <v>3</v>
      </c>
      <c r="W20" s="7" t="n">
        <v>2</v>
      </c>
      <c r="X20" s="7" t="n">
        <v>5</v>
      </c>
      <c r="Y20" s="7" t="n">
        <v>2</v>
      </c>
      <c r="Z20" s="9" t="n">
        <f aca="false">6-W20</f>
        <v>4</v>
      </c>
      <c r="AA20" s="9" t="n">
        <f aca="false">6-X20</f>
        <v>1</v>
      </c>
      <c r="AB20" s="9" t="n">
        <f aca="false">6-Y20</f>
        <v>4</v>
      </c>
      <c r="AC20" s="10" t="n">
        <f aca="false">AVERAGE(H20:J20)</f>
        <v>3.33333333333333</v>
      </c>
      <c r="AD20" s="10" t="n">
        <f aca="false">AVERAGE(K20:M20)</f>
        <v>4</v>
      </c>
      <c r="AE20" s="10" t="n">
        <f aca="false">AVERAGE(P20,S20,V20)</f>
        <v>3.66666666666667</v>
      </c>
      <c r="AF20" s="10" t="n">
        <f aca="false">AVERAGE(Q20,R20)</f>
        <v>3.5</v>
      </c>
      <c r="AG20" s="10" t="n">
        <f aca="false">AVERAGE(T20,U20)</f>
        <v>4</v>
      </c>
      <c r="AH20" s="10" t="n">
        <f aca="false">AVERAGE(W20:Y20)</f>
        <v>3</v>
      </c>
      <c r="AI20" s="7" t="s">
        <v>59</v>
      </c>
      <c r="AJ20" s="7" t="s">
        <v>59</v>
      </c>
    </row>
    <row r="21" customFormat="false" ht="15" hidden="false" customHeight="true" outlineLevel="0" collapsed="false">
      <c r="A21" s="7" t="n">
        <v>58</v>
      </c>
      <c r="B21" s="8" t="n">
        <v>46295</v>
      </c>
      <c r="C21" s="7" t="s">
        <v>75</v>
      </c>
      <c r="D21" s="7" t="s">
        <v>61</v>
      </c>
      <c r="E21" s="7" t="s">
        <v>55</v>
      </c>
      <c r="F21" s="7" t="s">
        <v>65</v>
      </c>
      <c r="G21" s="7" t="s">
        <v>57</v>
      </c>
      <c r="H21" s="7" t="n">
        <v>3</v>
      </c>
      <c r="I21" s="7" t="n">
        <v>4</v>
      </c>
      <c r="J21" s="7" t="n">
        <v>4</v>
      </c>
      <c r="K21" s="7" t="n">
        <v>5</v>
      </c>
      <c r="L21" s="7" t="n">
        <v>3</v>
      </c>
      <c r="M21" s="7" t="n">
        <v>5</v>
      </c>
      <c r="N21" s="7" t="s">
        <v>66</v>
      </c>
      <c r="O21" s="7" t="n">
        <f aca="false">IF(N21="Never",1,IF(N21="Rarely",2,IF(N21="Monthly",3,IF(N21="Weekly",4,5))))</f>
        <v>4</v>
      </c>
      <c r="P21" s="7" t="n">
        <v>4</v>
      </c>
      <c r="Q21" s="7" t="n">
        <v>3</v>
      </c>
      <c r="R21" s="7" t="n">
        <v>5</v>
      </c>
      <c r="S21" s="7" t="n">
        <v>5</v>
      </c>
      <c r="T21" s="7" t="n">
        <v>4</v>
      </c>
      <c r="U21" s="7" t="n">
        <v>4</v>
      </c>
      <c r="V21" s="7" t="n">
        <v>3</v>
      </c>
      <c r="W21" s="7" t="n">
        <v>4</v>
      </c>
      <c r="X21" s="7" t="n">
        <v>3</v>
      </c>
      <c r="Y21" s="7" t="n">
        <v>5</v>
      </c>
      <c r="Z21" s="9" t="n">
        <f aca="false">6-W21</f>
        <v>2</v>
      </c>
      <c r="AA21" s="9" t="n">
        <f aca="false">6-X21</f>
        <v>3</v>
      </c>
      <c r="AB21" s="9" t="n">
        <f aca="false">6-Y21</f>
        <v>1</v>
      </c>
      <c r="AC21" s="10" t="n">
        <f aca="false">AVERAGE(H21:J21)</f>
        <v>3.66666666666667</v>
      </c>
      <c r="AD21" s="10" t="n">
        <f aca="false">AVERAGE(K21:M21)</f>
        <v>4.33333333333333</v>
      </c>
      <c r="AE21" s="10" t="n">
        <f aca="false">AVERAGE(P21,S21,V21)</f>
        <v>4</v>
      </c>
      <c r="AF21" s="10" t="n">
        <f aca="false">AVERAGE(Q21,R21)</f>
        <v>4</v>
      </c>
      <c r="AG21" s="10" t="n">
        <f aca="false">AVERAGE(T21,U21)</f>
        <v>4</v>
      </c>
      <c r="AH21" s="10" t="n">
        <f aca="false">AVERAGE(W21:Y21)</f>
        <v>4</v>
      </c>
      <c r="AI21" s="7" t="s">
        <v>59</v>
      </c>
      <c r="AJ21" s="7" t="s">
        <v>59</v>
      </c>
    </row>
    <row r="22" customFormat="false" ht="15" hidden="false" customHeight="true" outlineLevel="0" collapsed="false">
      <c r="A22" s="7" t="n">
        <v>59</v>
      </c>
      <c r="B22" s="8" t="n">
        <v>46295</v>
      </c>
      <c r="C22" s="7" t="s">
        <v>75</v>
      </c>
      <c r="D22" s="7" t="s">
        <v>61</v>
      </c>
      <c r="E22" s="7" t="s">
        <v>55</v>
      </c>
      <c r="F22" s="7" t="s">
        <v>62</v>
      </c>
      <c r="G22" s="7" t="s">
        <v>63</v>
      </c>
      <c r="H22" s="7" t="n">
        <v>4</v>
      </c>
      <c r="I22" s="7" t="n">
        <v>5</v>
      </c>
      <c r="J22" s="7" t="n">
        <v>5</v>
      </c>
      <c r="K22" s="7" t="n">
        <v>5</v>
      </c>
      <c r="L22" s="7" t="n">
        <v>4</v>
      </c>
      <c r="M22" s="7" t="n">
        <v>5</v>
      </c>
      <c r="N22" s="7" t="s">
        <v>64</v>
      </c>
      <c r="O22" s="7" t="n">
        <f aca="false">IF(N22="Never",1,IF(N22="Rarely",2,IF(N22="Monthly",3,IF(N22="Weekly",4,5))))</f>
        <v>5</v>
      </c>
      <c r="P22" s="7" t="n">
        <v>4</v>
      </c>
      <c r="Q22" s="7" t="n">
        <v>5</v>
      </c>
      <c r="R22" s="7" t="n">
        <v>4</v>
      </c>
      <c r="S22" s="7" t="n">
        <v>5</v>
      </c>
      <c r="T22" s="7" t="n">
        <v>5</v>
      </c>
      <c r="U22" s="7" t="n">
        <v>4</v>
      </c>
      <c r="V22" s="7" t="n">
        <v>4</v>
      </c>
      <c r="W22" s="7" t="n">
        <v>3</v>
      </c>
      <c r="X22" s="7" t="n">
        <v>2</v>
      </c>
      <c r="Y22" s="7" t="n">
        <v>2</v>
      </c>
      <c r="Z22" s="9" t="n">
        <f aca="false">6-W22</f>
        <v>3</v>
      </c>
      <c r="AA22" s="9" t="n">
        <f aca="false">6-X22</f>
        <v>4</v>
      </c>
      <c r="AB22" s="9" t="n">
        <f aca="false">6-Y22</f>
        <v>4</v>
      </c>
      <c r="AC22" s="10" t="n">
        <f aca="false">AVERAGE(H22:J22)</f>
        <v>4.66666666666667</v>
      </c>
      <c r="AD22" s="10" t="n">
        <f aca="false">AVERAGE(K22:M22)</f>
        <v>4.66666666666667</v>
      </c>
      <c r="AE22" s="10" t="n">
        <f aca="false">AVERAGE(P22,S22,V22)</f>
        <v>4.33333333333333</v>
      </c>
      <c r="AF22" s="10" t="n">
        <f aca="false">AVERAGE(Q22,R22)</f>
        <v>4.5</v>
      </c>
      <c r="AG22" s="10" t="n">
        <f aca="false">AVERAGE(T22,U22)</f>
        <v>4.5</v>
      </c>
      <c r="AH22" s="10" t="n">
        <f aca="false">AVERAGE(W22:Y22)</f>
        <v>2.33333333333333</v>
      </c>
      <c r="AI22" s="7" t="s">
        <v>59</v>
      </c>
      <c r="AJ22" s="7" t="s">
        <v>59</v>
      </c>
    </row>
    <row r="23" customFormat="false" ht="15" hidden="false" customHeight="true" outlineLevel="0" collapsed="false">
      <c r="A23" s="7" t="n">
        <v>60</v>
      </c>
      <c r="B23" s="8" t="n">
        <v>46295</v>
      </c>
      <c r="C23" s="7" t="s">
        <v>75</v>
      </c>
      <c r="D23" s="7" t="s">
        <v>54</v>
      </c>
      <c r="E23" s="7" t="s">
        <v>55</v>
      </c>
      <c r="F23" s="7" t="s">
        <v>65</v>
      </c>
      <c r="G23" s="7" t="s">
        <v>57</v>
      </c>
      <c r="H23" s="7" t="n">
        <v>4</v>
      </c>
      <c r="I23" s="7" t="n">
        <v>5</v>
      </c>
      <c r="J23" s="7" t="n">
        <v>5</v>
      </c>
      <c r="K23" s="7" t="n">
        <v>5</v>
      </c>
      <c r="L23" s="7" t="n">
        <v>4</v>
      </c>
      <c r="M23" s="7" t="n">
        <v>4</v>
      </c>
      <c r="N23" s="7" t="s">
        <v>64</v>
      </c>
      <c r="O23" s="7" t="n">
        <f aca="false">IF(N23="Never",1,IF(N23="Rarely",2,IF(N23="Monthly",3,IF(N23="Weekly",4,5))))</f>
        <v>5</v>
      </c>
      <c r="P23" s="7" t="n">
        <v>4</v>
      </c>
      <c r="Q23" s="7" t="n">
        <v>4</v>
      </c>
      <c r="R23" s="7" t="n">
        <v>5</v>
      </c>
      <c r="S23" s="7" t="n">
        <v>5</v>
      </c>
      <c r="T23" s="7" t="n">
        <v>5</v>
      </c>
      <c r="U23" s="7" t="n">
        <v>4</v>
      </c>
      <c r="V23" s="7" t="n">
        <v>4</v>
      </c>
      <c r="W23" s="7" t="n">
        <v>2</v>
      </c>
      <c r="X23" s="7" t="n">
        <v>3</v>
      </c>
      <c r="Y23" s="7" t="n">
        <v>1</v>
      </c>
      <c r="Z23" s="9" t="n">
        <f aca="false">6-W23</f>
        <v>4</v>
      </c>
      <c r="AA23" s="9" t="n">
        <f aca="false">6-X23</f>
        <v>3</v>
      </c>
      <c r="AB23" s="9" t="n">
        <f aca="false">6-Y23</f>
        <v>5</v>
      </c>
      <c r="AC23" s="10" t="n">
        <f aca="false">AVERAGE(H23:J23)</f>
        <v>4.66666666666667</v>
      </c>
      <c r="AD23" s="10" t="n">
        <f aca="false">AVERAGE(K23:M23)</f>
        <v>4.33333333333333</v>
      </c>
      <c r="AE23" s="10" t="n">
        <f aca="false">AVERAGE(P23,S23,V23)</f>
        <v>4.33333333333333</v>
      </c>
      <c r="AF23" s="10" t="n">
        <f aca="false">AVERAGE(Q23,R23)</f>
        <v>4.5</v>
      </c>
      <c r="AG23" s="10" t="n">
        <f aca="false">AVERAGE(T23,U23)</f>
        <v>4.5</v>
      </c>
      <c r="AH23" s="10" t="n">
        <f aca="false">AVERAGE(W23:Y23)</f>
        <v>2</v>
      </c>
      <c r="AI23" s="7" t="s">
        <v>59</v>
      </c>
      <c r="AJ23" s="7" t="s">
        <v>59</v>
      </c>
    </row>
    <row r="24" customFormat="false" ht="15" hidden="false" customHeight="true" outlineLevel="0" collapsed="false">
      <c r="A24" s="7" t="n">
        <v>61</v>
      </c>
      <c r="B24" s="8" t="n">
        <v>46295</v>
      </c>
      <c r="C24" s="7" t="s">
        <v>60</v>
      </c>
      <c r="D24" s="7" t="s">
        <v>54</v>
      </c>
      <c r="E24" s="7" t="s">
        <v>55</v>
      </c>
      <c r="F24" s="7" t="s">
        <v>62</v>
      </c>
      <c r="G24" s="7" t="s">
        <v>63</v>
      </c>
      <c r="H24" s="7" t="n">
        <v>4</v>
      </c>
      <c r="I24" s="7" t="n">
        <v>5</v>
      </c>
      <c r="J24" s="7" t="n">
        <v>4</v>
      </c>
      <c r="K24" s="7" t="n">
        <v>4</v>
      </c>
      <c r="L24" s="7" t="n">
        <v>5</v>
      </c>
      <c r="M24" s="7" t="n">
        <v>5</v>
      </c>
      <c r="N24" s="7" t="s">
        <v>64</v>
      </c>
      <c r="O24" s="7" t="n">
        <f aca="false">IF(N24="Never",1,IF(N24="Rarely",2,IF(N24="Monthly",3,IF(N24="Weekly",4,5))))</f>
        <v>5</v>
      </c>
      <c r="P24" s="7" t="n">
        <v>4</v>
      </c>
      <c r="Q24" s="7" t="n">
        <v>4</v>
      </c>
      <c r="R24" s="7" t="n">
        <v>3</v>
      </c>
      <c r="S24" s="7" t="n">
        <v>4</v>
      </c>
      <c r="T24" s="7" t="n">
        <v>4</v>
      </c>
      <c r="U24" s="7" t="n">
        <v>5</v>
      </c>
      <c r="V24" s="7" t="n">
        <v>5</v>
      </c>
      <c r="W24" s="7" t="n">
        <v>2</v>
      </c>
      <c r="X24" s="7" t="n">
        <v>2</v>
      </c>
      <c r="Y24" s="7" t="n">
        <v>1</v>
      </c>
      <c r="Z24" s="9" t="n">
        <f aca="false">6-W24</f>
        <v>4</v>
      </c>
      <c r="AA24" s="9" t="n">
        <f aca="false">6-X24</f>
        <v>4</v>
      </c>
      <c r="AB24" s="9" t="n">
        <f aca="false">6-Y24</f>
        <v>5</v>
      </c>
      <c r="AC24" s="10" t="n">
        <f aca="false">AVERAGE(H24:J24)</f>
        <v>4.33333333333333</v>
      </c>
      <c r="AD24" s="10" t="n">
        <f aca="false">AVERAGE(K24:M24)</f>
        <v>4.66666666666667</v>
      </c>
      <c r="AE24" s="10" t="n">
        <f aca="false">AVERAGE(P24,S24,V24)</f>
        <v>4.33333333333333</v>
      </c>
      <c r="AF24" s="10" t="n">
        <f aca="false">AVERAGE(Q24,R24)</f>
        <v>3.5</v>
      </c>
      <c r="AG24" s="10" t="n">
        <f aca="false">AVERAGE(T24,U24)</f>
        <v>4.5</v>
      </c>
      <c r="AH24" s="10" t="n">
        <f aca="false">AVERAGE(W24:Y24)</f>
        <v>1.66666666666667</v>
      </c>
      <c r="AI24" s="7" t="s">
        <v>59</v>
      </c>
      <c r="AJ24" s="7" t="s">
        <v>59</v>
      </c>
    </row>
    <row r="25" customFormat="false" ht="15" hidden="false" customHeight="true" outlineLevel="0" collapsed="false">
      <c r="A25" s="7" t="n">
        <v>62</v>
      </c>
      <c r="B25" s="8" t="n">
        <v>46295</v>
      </c>
      <c r="C25" s="7" t="s">
        <v>75</v>
      </c>
      <c r="D25" s="7" t="s">
        <v>54</v>
      </c>
      <c r="E25" s="7" t="s">
        <v>55</v>
      </c>
      <c r="F25" s="7" t="s">
        <v>78</v>
      </c>
      <c r="G25" s="7" t="s">
        <v>57</v>
      </c>
      <c r="H25" s="7" t="n">
        <v>5</v>
      </c>
      <c r="I25" s="7" t="n">
        <v>3</v>
      </c>
      <c r="J25" s="7" t="n">
        <v>4</v>
      </c>
      <c r="K25" s="7" t="n">
        <v>4</v>
      </c>
      <c r="L25" s="7" t="n">
        <v>5</v>
      </c>
      <c r="M25" s="7" t="n">
        <v>5</v>
      </c>
      <c r="N25" s="7" t="s">
        <v>64</v>
      </c>
      <c r="O25" s="7" t="n">
        <f aca="false">IF(N25="Never",1,IF(N25="Rarely",2,IF(N25="Monthly",3,IF(N25="Weekly",4,5))))</f>
        <v>5</v>
      </c>
      <c r="P25" s="7" t="n">
        <v>4</v>
      </c>
      <c r="Q25" s="7" t="n">
        <v>4</v>
      </c>
      <c r="R25" s="7" t="n">
        <v>4</v>
      </c>
      <c r="S25" s="7" t="n">
        <v>5</v>
      </c>
      <c r="T25" s="7" t="n">
        <v>3</v>
      </c>
      <c r="U25" s="7" t="n">
        <v>4</v>
      </c>
      <c r="V25" s="7" t="n">
        <v>4</v>
      </c>
      <c r="W25" s="7" t="n">
        <v>1</v>
      </c>
      <c r="X25" s="7" t="n">
        <v>1</v>
      </c>
      <c r="Y25" s="7" t="n">
        <v>2</v>
      </c>
      <c r="Z25" s="9" t="n">
        <f aca="false">6-W25</f>
        <v>5</v>
      </c>
      <c r="AA25" s="9" t="n">
        <f aca="false">6-X25</f>
        <v>5</v>
      </c>
      <c r="AB25" s="9" t="n">
        <f aca="false">6-Y25</f>
        <v>4</v>
      </c>
      <c r="AC25" s="10" t="n">
        <f aca="false">AVERAGE(H25:J25)</f>
        <v>4</v>
      </c>
      <c r="AD25" s="10" t="n">
        <f aca="false">AVERAGE(K25:M25)</f>
        <v>4.66666666666667</v>
      </c>
      <c r="AE25" s="10" t="n">
        <f aca="false">AVERAGE(P25,S25,V25)</f>
        <v>4.33333333333333</v>
      </c>
      <c r="AF25" s="10" t="n">
        <f aca="false">AVERAGE(Q25,R25)</f>
        <v>4</v>
      </c>
      <c r="AG25" s="10" t="n">
        <f aca="false">AVERAGE(T25,U25)</f>
        <v>3.5</v>
      </c>
      <c r="AH25" s="10" t="n">
        <f aca="false">AVERAGE(W25:Y25)</f>
        <v>1.33333333333333</v>
      </c>
      <c r="AI25" s="7" t="s">
        <v>59</v>
      </c>
      <c r="AJ25" s="7" t="s">
        <v>59</v>
      </c>
    </row>
    <row r="26" customFormat="false" ht="15" hidden="false" customHeight="true" outlineLevel="0" collapsed="false">
      <c r="A26" s="7" t="n">
        <v>64</v>
      </c>
      <c r="B26" s="8" t="n">
        <v>46295</v>
      </c>
      <c r="C26" s="7" t="s">
        <v>53</v>
      </c>
      <c r="D26" s="7" t="s">
        <v>54</v>
      </c>
      <c r="E26" s="7" t="s">
        <v>55</v>
      </c>
      <c r="F26" s="7" t="s">
        <v>73</v>
      </c>
      <c r="G26" s="7" t="s">
        <v>57</v>
      </c>
      <c r="H26" s="7" t="n">
        <v>4</v>
      </c>
      <c r="I26" s="7" t="n">
        <v>3</v>
      </c>
      <c r="J26" s="7" t="n">
        <v>4</v>
      </c>
      <c r="K26" s="7" t="n">
        <v>4</v>
      </c>
      <c r="L26" s="7" t="n">
        <v>5</v>
      </c>
      <c r="M26" s="7" t="n">
        <v>5</v>
      </c>
      <c r="N26" s="7" t="s">
        <v>74</v>
      </c>
      <c r="O26" s="7" t="n">
        <f aca="false">IF(N26="Never",1,IF(N26="Rarely",2,IF(N26="Monthly",3,IF(N26="Weekly",4,5))))</f>
        <v>3</v>
      </c>
      <c r="P26" s="7" t="n">
        <v>3</v>
      </c>
      <c r="Q26" s="7" t="n">
        <v>4</v>
      </c>
      <c r="R26" s="7" t="n">
        <v>3</v>
      </c>
      <c r="S26" s="7" t="n">
        <v>5</v>
      </c>
      <c r="T26" s="7" t="n">
        <v>3</v>
      </c>
      <c r="U26" s="7" t="n">
        <v>4</v>
      </c>
      <c r="V26" s="7" t="n">
        <v>4</v>
      </c>
      <c r="W26" s="7" t="n">
        <v>3</v>
      </c>
      <c r="X26" s="7" t="n">
        <v>2</v>
      </c>
      <c r="Y26" s="7" t="n">
        <v>3</v>
      </c>
      <c r="Z26" s="9" t="n">
        <f aca="false">6-W26</f>
        <v>3</v>
      </c>
      <c r="AA26" s="9" t="n">
        <f aca="false">6-X26</f>
        <v>4</v>
      </c>
      <c r="AB26" s="9" t="n">
        <f aca="false">6-Y26</f>
        <v>3</v>
      </c>
      <c r="AC26" s="10" t="n">
        <f aca="false">AVERAGE(H26:J26)</f>
        <v>3.66666666666667</v>
      </c>
      <c r="AD26" s="10" t="n">
        <f aca="false">AVERAGE(K26:M26)</f>
        <v>4.66666666666667</v>
      </c>
      <c r="AE26" s="10" t="n">
        <f aca="false">AVERAGE(P26,S26,V26)</f>
        <v>4</v>
      </c>
      <c r="AF26" s="10" t="n">
        <f aca="false">AVERAGE(Q26,R26)</f>
        <v>3.5</v>
      </c>
      <c r="AG26" s="10" t="n">
        <f aca="false">AVERAGE(T26,U26)</f>
        <v>3.5</v>
      </c>
      <c r="AH26" s="10" t="n">
        <f aca="false">AVERAGE(W26:Y26)</f>
        <v>2.66666666666667</v>
      </c>
      <c r="AI26" s="7" t="s">
        <v>59</v>
      </c>
      <c r="AJ26" s="7" t="s">
        <v>59</v>
      </c>
    </row>
    <row r="27" customFormat="false" ht="15" hidden="false" customHeight="true" outlineLevel="0" collapsed="false">
      <c r="A27" s="7" t="n">
        <v>65</v>
      </c>
      <c r="B27" s="8" t="n">
        <v>46295</v>
      </c>
      <c r="C27" s="7" t="s">
        <v>75</v>
      </c>
      <c r="D27" s="7" t="s">
        <v>61</v>
      </c>
      <c r="E27" s="7" t="s">
        <v>55</v>
      </c>
      <c r="F27" s="7" t="s">
        <v>79</v>
      </c>
      <c r="G27" s="7" t="s">
        <v>63</v>
      </c>
      <c r="H27" s="7" t="n">
        <v>4</v>
      </c>
      <c r="I27" s="7" t="n">
        <v>5</v>
      </c>
      <c r="J27" s="7" t="n">
        <v>4</v>
      </c>
      <c r="K27" s="7" t="n">
        <v>4</v>
      </c>
      <c r="L27" s="7" t="n">
        <v>5</v>
      </c>
      <c r="M27" s="7" t="n">
        <v>5</v>
      </c>
      <c r="N27" s="7" t="s">
        <v>66</v>
      </c>
      <c r="O27" s="7" t="n">
        <f aca="false">IF(N27="Never",1,IF(N27="Rarely",2,IF(N27="Monthly",3,IF(N27="Weekly",4,5))))</f>
        <v>4</v>
      </c>
      <c r="P27" s="7" t="n">
        <v>4</v>
      </c>
      <c r="Q27" s="7" t="n">
        <v>5</v>
      </c>
      <c r="R27" s="7" t="n">
        <v>4</v>
      </c>
      <c r="S27" s="7" t="n">
        <v>5</v>
      </c>
      <c r="T27" s="7" t="n">
        <v>4</v>
      </c>
      <c r="U27" s="7" t="n">
        <v>4</v>
      </c>
      <c r="V27" s="7" t="n">
        <v>4</v>
      </c>
      <c r="W27" s="7" t="n">
        <v>3</v>
      </c>
      <c r="X27" s="7" t="n">
        <v>2</v>
      </c>
      <c r="Y27" s="7" t="n">
        <v>2</v>
      </c>
      <c r="Z27" s="9" t="n">
        <f aca="false">6-W27</f>
        <v>3</v>
      </c>
      <c r="AA27" s="9" t="n">
        <f aca="false">6-X27</f>
        <v>4</v>
      </c>
      <c r="AB27" s="9" t="n">
        <f aca="false">6-Y27</f>
        <v>4</v>
      </c>
      <c r="AC27" s="10" t="n">
        <f aca="false">AVERAGE(H27:J27)</f>
        <v>4.33333333333333</v>
      </c>
      <c r="AD27" s="10" t="n">
        <f aca="false">AVERAGE(K27:M27)</f>
        <v>4.66666666666667</v>
      </c>
      <c r="AE27" s="10" t="n">
        <f aca="false">AVERAGE(P27,S27,V27)</f>
        <v>4.33333333333333</v>
      </c>
      <c r="AF27" s="10" t="n">
        <f aca="false">AVERAGE(Q27,R27)</f>
        <v>4.5</v>
      </c>
      <c r="AG27" s="10" t="n">
        <f aca="false">AVERAGE(T27,U27)</f>
        <v>4</v>
      </c>
      <c r="AH27" s="10" t="n">
        <f aca="false">AVERAGE(W27:Y27)</f>
        <v>2.33333333333333</v>
      </c>
      <c r="AI27" s="7" t="s">
        <v>59</v>
      </c>
      <c r="AJ27" s="7" t="s">
        <v>59</v>
      </c>
    </row>
    <row r="28" customFormat="false" ht="15" hidden="false" customHeight="true" outlineLevel="0" collapsed="false">
      <c r="A28" s="7" t="n">
        <v>66</v>
      </c>
      <c r="B28" s="8" t="n">
        <v>46295</v>
      </c>
      <c r="C28" s="7" t="s">
        <v>75</v>
      </c>
      <c r="D28" s="7" t="s">
        <v>54</v>
      </c>
      <c r="E28" s="7" t="s">
        <v>55</v>
      </c>
      <c r="F28" s="7" t="s">
        <v>73</v>
      </c>
      <c r="G28" s="7" t="s">
        <v>57</v>
      </c>
      <c r="H28" s="7" t="n">
        <v>4</v>
      </c>
      <c r="I28" s="7" t="n">
        <v>4</v>
      </c>
      <c r="J28" s="7" t="n">
        <v>5</v>
      </c>
      <c r="K28" s="7" t="n">
        <v>4</v>
      </c>
      <c r="L28" s="7" t="n">
        <v>3</v>
      </c>
      <c r="M28" s="7" t="n">
        <v>4</v>
      </c>
      <c r="N28" s="7" t="s">
        <v>66</v>
      </c>
      <c r="O28" s="7" t="n">
        <f aca="false">IF(N28="Never",1,IF(N28="Rarely",2,IF(N28="Monthly",3,IF(N28="Weekly",4,5))))</f>
        <v>4</v>
      </c>
      <c r="P28" s="7" t="n">
        <v>3</v>
      </c>
      <c r="Q28" s="7" t="n">
        <v>4</v>
      </c>
      <c r="R28" s="7" t="n">
        <v>4</v>
      </c>
      <c r="S28" s="7" t="n">
        <v>5</v>
      </c>
      <c r="T28" s="7" t="n">
        <v>4</v>
      </c>
      <c r="U28" s="7" t="n">
        <v>5</v>
      </c>
      <c r="V28" s="7" t="n">
        <v>5</v>
      </c>
      <c r="W28" s="7" t="n">
        <v>3</v>
      </c>
      <c r="X28" s="7" t="n">
        <v>2</v>
      </c>
      <c r="Y28" s="7" t="n">
        <v>3</v>
      </c>
      <c r="Z28" s="9" t="n">
        <f aca="false">6-W28</f>
        <v>3</v>
      </c>
      <c r="AA28" s="9" t="n">
        <f aca="false">6-X28</f>
        <v>4</v>
      </c>
      <c r="AB28" s="9" t="n">
        <f aca="false">6-Y28</f>
        <v>3</v>
      </c>
      <c r="AC28" s="10" t="n">
        <f aca="false">AVERAGE(H28:J28)</f>
        <v>4.33333333333333</v>
      </c>
      <c r="AD28" s="10" t="n">
        <f aca="false">AVERAGE(K28:M28)</f>
        <v>3.66666666666667</v>
      </c>
      <c r="AE28" s="10" t="n">
        <f aca="false">AVERAGE(P28,S28,V28)</f>
        <v>4.33333333333333</v>
      </c>
      <c r="AF28" s="10" t="n">
        <f aca="false">AVERAGE(Q28,R28)</f>
        <v>4</v>
      </c>
      <c r="AG28" s="10" t="n">
        <f aca="false">AVERAGE(T28,U28)</f>
        <v>4.5</v>
      </c>
      <c r="AH28" s="10" t="n">
        <f aca="false">AVERAGE(W28:Y28)</f>
        <v>2.66666666666667</v>
      </c>
      <c r="AI28" s="7" t="s">
        <v>59</v>
      </c>
      <c r="AJ28" s="7" t="s">
        <v>59</v>
      </c>
    </row>
    <row r="29" customFormat="false" ht="15" hidden="false" customHeight="true" outlineLevel="0" collapsed="false">
      <c r="A29" s="7" t="n">
        <v>67</v>
      </c>
      <c r="B29" s="8" t="n">
        <v>46295</v>
      </c>
      <c r="C29" s="7" t="s">
        <v>75</v>
      </c>
      <c r="D29" s="7" t="s">
        <v>54</v>
      </c>
      <c r="E29" s="7" t="s">
        <v>55</v>
      </c>
      <c r="F29" s="7" t="s">
        <v>62</v>
      </c>
      <c r="G29" s="7" t="s">
        <v>63</v>
      </c>
      <c r="H29" s="7" t="n">
        <v>5</v>
      </c>
      <c r="I29" s="7" t="n">
        <v>4</v>
      </c>
      <c r="J29" s="7" t="n">
        <v>4</v>
      </c>
      <c r="K29" s="7" t="n">
        <v>5</v>
      </c>
      <c r="L29" s="7" t="n">
        <v>4</v>
      </c>
      <c r="M29" s="7" t="n">
        <v>4</v>
      </c>
      <c r="N29" s="7" t="s">
        <v>64</v>
      </c>
      <c r="O29" s="7" t="n">
        <f aca="false">IF(N29="Never",1,IF(N29="Rarely",2,IF(N29="Monthly",3,IF(N29="Weekly",4,5))))</f>
        <v>5</v>
      </c>
      <c r="P29" s="7" t="n">
        <v>5</v>
      </c>
      <c r="Q29" s="7" t="n">
        <v>5</v>
      </c>
      <c r="R29" s="7" t="n">
        <v>4</v>
      </c>
      <c r="S29" s="7" t="n">
        <v>4</v>
      </c>
      <c r="T29" s="7" t="n">
        <v>4</v>
      </c>
      <c r="U29" s="7" t="n">
        <v>5</v>
      </c>
      <c r="V29" s="7" t="n">
        <v>4</v>
      </c>
      <c r="W29" s="7" t="n">
        <v>3</v>
      </c>
      <c r="X29" s="7" t="n">
        <v>2</v>
      </c>
      <c r="Y29" s="7" t="n">
        <v>1</v>
      </c>
      <c r="Z29" s="9" t="n">
        <f aca="false">6-W29</f>
        <v>3</v>
      </c>
      <c r="AA29" s="9" t="n">
        <f aca="false">6-X29</f>
        <v>4</v>
      </c>
      <c r="AB29" s="9" t="n">
        <f aca="false">6-Y29</f>
        <v>5</v>
      </c>
      <c r="AC29" s="10" t="n">
        <f aca="false">AVERAGE(H29:J29)</f>
        <v>4.33333333333333</v>
      </c>
      <c r="AD29" s="10" t="n">
        <f aca="false">AVERAGE(K29:M29)</f>
        <v>4.33333333333333</v>
      </c>
      <c r="AE29" s="10" t="n">
        <f aca="false">AVERAGE(P29,S29,V29)</f>
        <v>4.33333333333333</v>
      </c>
      <c r="AF29" s="10" t="n">
        <f aca="false">AVERAGE(Q29,R29)</f>
        <v>4.5</v>
      </c>
      <c r="AG29" s="10" t="n">
        <f aca="false">AVERAGE(T29,U29)</f>
        <v>4.5</v>
      </c>
      <c r="AH29" s="10" t="n">
        <f aca="false">AVERAGE(W29:Y29)</f>
        <v>2</v>
      </c>
      <c r="AI29" s="7" t="s">
        <v>59</v>
      </c>
      <c r="AJ29" s="7" t="s">
        <v>59</v>
      </c>
    </row>
    <row r="30" customFormat="false" ht="15" hidden="false" customHeight="true" outlineLevel="0" collapsed="false">
      <c r="A30" s="7" t="n">
        <v>68</v>
      </c>
      <c r="B30" s="8" t="n">
        <v>46295</v>
      </c>
      <c r="C30" s="7" t="s">
        <v>75</v>
      </c>
      <c r="D30" s="7" t="s">
        <v>61</v>
      </c>
      <c r="E30" s="7" t="s">
        <v>55</v>
      </c>
      <c r="F30" s="7" t="s">
        <v>79</v>
      </c>
      <c r="G30" s="7" t="s">
        <v>63</v>
      </c>
      <c r="H30" s="7" t="n">
        <v>4</v>
      </c>
      <c r="I30" s="7" t="n">
        <v>4</v>
      </c>
      <c r="J30" s="7" t="n">
        <v>5</v>
      </c>
      <c r="K30" s="7" t="n">
        <v>4</v>
      </c>
      <c r="L30" s="7" t="n">
        <v>3</v>
      </c>
      <c r="M30" s="7" t="n">
        <v>4</v>
      </c>
      <c r="N30" s="7" t="s">
        <v>66</v>
      </c>
      <c r="O30" s="7" t="n">
        <f aca="false">IF(N30="Never",1,IF(N30="Rarely",2,IF(N30="Monthly",3,IF(N30="Weekly",4,5))))</f>
        <v>4</v>
      </c>
      <c r="P30" s="7" t="n">
        <v>4</v>
      </c>
      <c r="Q30" s="7" t="n">
        <v>4</v>
      </c>
      <c r="R30" s="7" t="n">
        <v>3</v>
      </c>
      <c r="S30" s="7" t="n">
        <v>2</v>
      </c>
      <c r="T30" s="7" t="n">
        <v>4</v>
      </c>
      <c r="U30" s="7" t="n">
        <v>5</v>
      </c>
      <c r="V30" s="7" t="n">
        <v>4</v>
      </c>
      <c r="W30" s="7" t="n">
        <v>2</v>
      </c>
      <c r="X30" s="7" t="n">
        <v>3</v>
      </c>
      <c r="Y30" s="7" t="n">
        <v>2</v>
      </c>
      <c r="Z30" s="9" t="n">
        <f aca="false">6-W30</f>
        <v>4</v>
      </c>
      <c r="AA30" s="9" t="n">
        <f aca="false">6-X30</f>
        <v>3</v>
      </c>
      <c r="AB30" s="9" t="n">
        <f aca="false">6-Y30</f>
        <v>4</v>
      </c>
      <c r="AC30" s="10" t="n">
        <f aca="false">AVERAGE(H30:J30)</f>
        <v>4.33333333333333</v>
      </c>
      <c r="AD30" s="10" t="n">
        <f aca="false">AVERAGE(K30:M30)</f>
        <v>3.66666666666667</v>
      </c>
      <c r="AE30" s="10" t="n">
        <f aca="false">AVERAGE(P30,S30,V30)</f>
        <v>3.33333333333333</v>
      </c>
      <c r="AF30" s="10" t="n">
        <f aca="false">AVERAGE(Q30,R30)</f>
        <v>3.5</v>
      </c>
      <c r="AG30" s="10" t="n">
        <f aca="false">AVERAGE(T30,U30)</f>
        <v>4.5</v>
      </c>
      <c r="AH30" s="10" t="n">
        <f aca="false">AVERAGE(W30:Y30)</f>
        <v>2.33333333333333</v>
      </c>
      <c r="AI30" s="7" t="s">
        <v>59</v>
      </c>
      <c r="AJ30" s="7" t="s">
        <v>59</v>
      </c>
    </row>
    <row r="31" customFormat="false" ht="15" hidden="false" customHeight="true" outlineLevel="0" collapsed="false">
      <c r="A31" s="7" t="n">
        <v>70</v>
      </c>
      <c r="B31" s="8" t="n">
        <v>46295</v>
      </c>
      <c r="C31" s="7" t="s">
        <v>53</v>
      </c>
      <c r="D31" s="7" t="s">
        <v>80</v>
      </c>
      <c r="E31" s="7" t="s">
        <v>55</v>
      </c>
      <c r="F31" s="7" t="s">
        <v>65</v>
      </c>
      <c r="G31" s="7" t="s">
        <v>57</v>
      </c>
      <c r="H31" s="7" t="n">
        <v>4</v>
      </c>
      <c r="I31" s="7" t="n">
        <v>4</v>
      </c>
      <c r="J31" s="7" t="n">
        <v>3</v>
      </c>
      <c r="K31" s="7" t="n">
        <v>4</v>
      </c>
      <c r="L31" s="7" t="n">
        <v>5</v>
      </c>
      <c r="M31" s="7" t="n">
        <v>5</v>
      </c>
      <c r="N31" s="7" t="s">
        <v>66</v>
      </c>
      <c r="O31" s="7" t="n">
        <f aca="false">IF(N31="Never",1,IF(N31="Rarely",2,IF(N31="Monthly",3,IF(N31="Weekly",4,5))))</f>
        <v>4</v>
      </c>
      <c r="P31" s="7" t="n">
        <v>4</v>
      </c>
      <c r="Q31" s="7" t="n">
        <v>3</v>
      </c>
      <c r="R31" s="7" t="n">
        <v>3</v>
      </c>
      <c r="S31" s="7" t="n">
        <v>5</v>
      </c>
      <c r="T31" s="7" t="n">
        <v>5</v>
      </c>
      <c r="U31" s="7" t="n">
        <v>5</v>
      </c>
      <c r="V31" s="7" t="n">
        <v>4</v>
      </c>
      <c r="W31" s="7" t="n">
        <v>2</v>
      </c>
      <c r="X31" s="7" t="n">
        <v>3</v>
      </c>
      <c r="Y31" s="7" t="n">
        <v>2</v>
      </c>
      <c r="Z31" s="9" t="n">
        <f aca="false">6-W31</f>
        <v>4</v>
      </c>
      <c r="AA31" s="9" t="n">
        <f aca="false">6-X31</f>
        <v>3</v>
      </c>
      <c r="AB31" s="9" t="n">
        <f aca="false">6-Y31</f>
        <v>4</v>
      </c>
      <c r="AC31" s="10" t="n">
        <f aca="false">AVERAGE(H31:J31)</f>
        <v>3.66666666666667</v>
      </c>
      <c r="AD31" s="10" t="n">
        <f aca="false">AVERAGE(K31:M31)</f>
        <v>4.66666666666667</v>
      </c>
      <c r="AE31" s="10" t="n">
        <f aca="false">AVERAGE(P31,S31,V31)</f>
        <v>4.33333333333333</v>
      </c>
      <c r="AF31" s="10" t="n">
        <f aca="false">AVERAGE(Q31,R31)</f>
        <v>3</v>
      </c>
      <c r="AG31" s="10" t="n">
        <f aca="false">AVERAGE(T31,U31)</f>
        <v>5</v>
      </c>
      <c r="AH31" s="10" t="n">
        <f aca="false">AVERAGE(W31:Y31)</f>
        <v>2.33333333333333</v>
      </c>
      <c r="AI31" s="7" t="s">
        <v>59</v>
      </c>
      <c r="AJ31" s="7" t="s">
        <v>59</v>
      </c>
    </row>
    <row r="32" customFormat="false" ht="15" hidden="false" customHeight="true" outlineLevel="0" collapsed="false">
      <c r="A32" s="7" t="n">
        <v>71</v>
      </c>
      <c r="B32" s="8" t="n">
        <v>46295</v>
      </c>
      <c r="C32" s="7" t="s">
        <v>60</v>
      </c>
      <c r="D32" s="7" t="s">
        <v>54</v>
      </c>
      <c r="E32" s="7" t="s">
        <v>55</v>
      </c>
      <c r="F32" s="7" t="s">
        <v>73</v>
      </c>
      <c r="G32" s="7" t="s">
        <v>57</v>
      </c>
      <c r="H32" s="7" t="n">
        <v>3</v>
      </c>
      <c r="I32" s="7" t="n">
        <v>4</v>
      </c>
      <c r="J32" s="7" t="n">
        <v>5</v>
      </c>
      <c r="K32" s="7" t="n">
        <v>4</v>
      </c>
      <c r="L32" s="7" t="n">
        <v>3</v>
      </c>
      <c r="M32" s="7" t="n">
        <v>4</v>
      </c>
      <c r="N32" s="7" t="s">
        <v>74</v>
      </c>
      <c r="O32" s="7" t="n">
        <f aca="false">IF(N32="Never",1,IF(N32="Rarely",2,IF(N32="Monthly",3,IF(N32="Weekly",4,5))))</f>
        <v>3</v>
      </c>
      <c r="P32" s="7" t="n">
        <v>5</v>
      </c>
      <c r="Q32" s="7" t="n">
        <v>4</v>
      </c>
      <c r="R32" s="7" t="n">
        <v>3</v>
      </c>
      <c r="S32" s="7" t="n">
        <v>4</v>
      </c>
      <c r="T32" s="7" t="n">
        <v>4</v>
      </c>
      <c r="U32" s="7" t="n">
        <v>4</v>
      </c>
      <c r="V32" s="7" t="n">
        <v>4</v>
      </c>
      <c r="W32" s="7" t="n">
        <v>3</v>
      </c>
      <c r="X32" s="7" t="n">
        <v>2</v>
      </c>
      <c r="Y32" s="7" t="n">
        <v>1</v>
      </c>
      <c r="Z32" s="9" t="n">
        <f aca="false">6-W32</f>
        <v>3</v>
      </c>
      <c r="AA32" s="9" t="n">
        <f aca="false">6-X32</f>
        <v>4</v>
      </c>
      <c r="AB32" s="9" t="n">
        <f aca="false">6-Y32</f>
        <v>5</v>
      </c>
      <c r="AC32" s="10" t="n">
        <f aca="false">AVERAGE(H32:J32)</f>
        <v>4</v>
      </c>
      <c r="AD32" s="10" t="n">
        <f aca="false">AVERAGE(K32:M32)</f>
        <v>3.66666666666667</v>
      </c>
      <c r="AE32" s="10" t="n">
        <f aca="false">AVERAGE(P32,S32,V32)</f>
        <v>4.33333333333333</v>
      </c>
      <c r="AF32" s="10" t="n">
        <f aca="false">AVERAGE(Q32,R32)</f>
        <v>3.5</v>
      </c>
      <c r="AG32" s="10" t="n">
        <f aca="false">AVERAGE(T32,U32)</f>
        <v>4</v>
      </c>
      <c r="AH32" s="10" t="n">
        <f aca="false">AVERAGE(W32:Y32)</f>
        <v>2</v>
      </c>
      <c r="AI32" s="7" t="s">
        <v>59</v>
      </c>
      <c r="AJ32" s="7" t="s">
        <v>59</v>
      </c>
    </row>
    <row r="33" customFormat="false" ht="15" hidden="false" customHeight="true" outlineLevel="0" collapsed="false">
      <c r="A33" s="7" t="n">
        <v>72</v>
      </c>
      <c r="B33" s="8" t="n">
        <v>46295</v>
      </c>
      <c r="C33" s="7" t="s">
        <v>53</v>
      </c>
      <c r="D33" s="7" t="s">
        <v>54</v>
      </c>
      <c r="E33" s="7" t="s">
        <v>55</v>
      </c>
      <c r="F33" s="7" t="s">
        <v>65</v>
      </c>
      <c r="G33" s="7" t="s">
        <v>57</v>
      </c>
      <c r="H33" s="7" t="n">
        <v>4</v>
      </c>
      <c r="I33" s="7" t="n">
        <v>4</v>
      </c>
      <c r="J33" s="7" t="n">
        <v>3</v>
      </c>
      <c r="K33" s="7" t="n">
        <v>4</v>
      </c>
      <c r="L33" s="7" t="n">
        <v>5</v>
      </c>
      <c r="M33" s="7" t="n">
        <v>5</v>
      </c>
      <c r="N33" s="7" t="s">
        <v>64</v>
      </c>
      <c r="O33" s="7" t="n">
        <f aca="false">IF(N33="Never",1,IF(N33="Rarely",2,IF(N33="Monthly",3,IF(N33="Weekly",4,5))))</f>
        <v>5</v>
      </c>
      <c r="P33" s="7" t="n">
        <v>3</v>
      </c>
      <c r="Q33" s="7" t="n">
        <v>4</v>
      </c>
      <c r="R33" s="7" t="n">
        <v>3</v>
      </c>
      <c r="S33" s="7" t="n">
        <v>4</v>
      </c>
      <c r="T33" s="7" t="n">
        <v>5</v>
      </c>
      <c r="U33" s="7" t="n">
        <v>5</v>
      </c>
      <c r="V33" s="7" t="n">
        <v>4</v>
      </c>
      <c r="W33" s="7" t="n">
        <v>2</v>
      </c>
      <c r="X33" s="7" t="n">
        <v>3</v>
      </c>
      <c r="Y33" s="7" t="n">
        <v>2</v>
      </c>
      <c r="Z33" s="9" t="n">
        <f aca="false">6-W33</f>
        <v>4</v>
      </c>
      <c r="AA33" s="9" t="n">
        <f aca="false">6-X33</f>
        <v>3</v>
      </c>
      <c r="AB33" s="9" t="n">
        <f aca="false">6-Y33</f>
        <v>4</v>
      </c>
      <c r="AC33" s="10" t="n">
        <f aca="false">AVERAGE(H33:J33)</f>
        <v>3.66666666666667</v>
      </c>
      <c r="AD33" s="10" t="n">
        <f aca="false">AVERAGE(K33:M33)</f>
        <v>4.66666666666667</v>
      </c>
      <c r="AE33" s="10" t="n">
        <f aca="false">AVERAGE(P33,S33,V33)</f>
        <v>3.66666666666667</v>
      </c>
      <c r="AF33" s="10" t="n">
        <f aca="false">AVERAGE(Q33,R33)</f>
        <v>3.5</v>
      </c>
      <c r="AG33" s="10" t="n">
        <f aca="false">AVERAGE(T33,U33)</f>
        <v>5</v>
      </c>
      <c r="AH33" s="10" t="n">
        <f aca="false">AVERAGE(W33:Y33)</f>
        <v>2.33333333333333</v>
      </c>
      <c r="AI33" s="7" t="s">
        <v>59</v>
      </c>
      <c r="AJ33" s="7" t="s">
        <v>59</v>
      </c>
    </row>
    <row r="34" customFormat="false" ht="15" hidden="false" customHeight="true" outlineLevel="0" collapsed="false">
      <c r="A34" s="7" t="n">
        <v>73</v>
      </c>
      <c r="B34" s="8" t="n">
        <v>46295</v>
      </c>
      <c r="C34" s="7" t="s">
        <v>75</v>
      </c>
      <c r="D34" s="7" t="s">
        <v>80</v>
      </c>
      <c r="E34" s="7" t="s">
        <v>55</v>
      </c>
      <c r="F34" s="7" t="s">
        <v>65</v>
      </c>
      <c r="G34" s="7" t="s">
        <v>57</v>
      </c>
      <c r="H34" s="7" t="n">
        <v>3</v>
      </c>
      <c r="I34" s="7" t="n">
        <v>4</v>
      </c>
      <c r="J34" s="7" t="n">
        <v>4</v>
      </c>
      <c r="K34" s="7" t="n">
        <v>5</v>
      </c>
      <c r="L34" s="7" t="n">
        <v>5</v>
      </c>
      <c r="M34" s="7" t="n">
        <v>4</v>
      </c>
      <c r="N34" s="7" t="s">
        <v>64</v>
      </c>
      <c r="O34" s="7" t="n">
        <f aca="false">IF(N34="Never",1,IF(N34="Rarely",2,IF(N34="Monthly",3,IF(N34="Weekly",4,5))))</f>
        <v>5</v>
      </c>
      <c r="P34" s="7" t="n">
        <v>4</v>
      </c>
      <c r="Q34" s="7" t="n">
        <v>4</v>
      </c>
      <c r="R34" s="7" t="n">
        <v>3</v>
      </c>
      <c r="S34" s="7" t="n">
        <v>4</v>
      </c>
      <c r="T34" s="7" t="n">
        <v>5</v>
      </c>
      <c r="U34" s="7" t="n">
        <v>5</v>
      </c>
      <c r="V34" s="7" t="n">
        <v>4</v>
      </c>
      <c r="W34" s="7" t="n">
        <v>3</v>
      </c>
      <c r="X34" s="7" t="n">
        <v>3</v>
      </c>
      <c r="Y34" s="7" t="n">
        <v>2</v>
      </c>
      <c r="Z34" s="9" t="n">
        <f aca="false">6-W34</f>
        <v>3</v>
      </c>
      <c r="AA34" s="9" t="n">
        <f aca="false">6-X34</f>
        <v>3</v>
      </c>
      <c r="AB34" s="9" t="n">
        <f aca="false">6-Y34</f>
        <v>4</v>
      </c>
      <c r="AC34" s="10" t="n">
        <f aca="false">AVERAGE(H34:J34)</f>
        <v>3.66666666666667</v>
      </c>
      <c r="AD34" s="10" t="n">
        <f aca="false">AVERAGE(K34:M34)</f>
        <v>4.66666666666667</v>
      </c>
      <c r="AE34" s="10" t="n">
        <f aca="false">AVERAGE(P34,S34,V34)</f>
        <v>4</v>
      </c>
      <c r="AF34" s="10" t="n">
        <f aca="false">AVERAGE(Q34,R34)</f>
        <v>3.5</v>
      </c>
      <c r="AG34" s="10" t="n">
        <f aca="false">AVERAGE(T34,U34)</f>
        <v>5</v>
      </c>
      <c r="AH34" s="10" t="n">
        <f aca="false">AVERAGE(W34:Y34)</f>
        <v>2.66666666666667</v>
      </c>
      <c r="AI34" s="7" t="s">
        <v>59</v>
      </c>
      <c r="AJ34" s="7" t="s">
        <v>59</v>
      </c>
    </row>
    <row r="35" customFormat="false" ht="15" hidden="false" customHeight="true" outlineLevel="0" collapsed="false">
      <c r="A35" s="7" t="n">
        <v>74</v>
      </c>
      <c r="B35" s="8" t="n">
        <v>46295</v>
      </c>
      <c r="C35" s="7" t="s">
        <v>75</v>
      </c>
      <c r="D35" s="7" t="s">
        <v>54</v>
      </c>
      <c r="E35" s="7" t="s">
        <v>55</v>
      </c>
      <c r="F35" s="7" t="s">
        <v>79</v>
      </c>
      <c r="G35" s="7" t="s">
        <v>63</v>
      </c>
      <c r="H35" s="7" t="n">
        <v>4</v>
      </c>
      <c r="I35" s="7" t="n">
        <v>4</v>
      </c>
      <c r="J35" s="7" t="n">
        <v>5</v>
      </c>
      <c r="K35" s="7" t="n">
        <v>4</v>
      </c>
      <c r="L35" s="7" t="n">
        <v>3</v>
      </c>
      <c r="M35" s="7" t="n">
        <v>5</v>
      </c>
      <c r="N35" s="7" t="s">
        <v>64</v>
      </c>
      <c r="O35" s="7" t="n">
        <f aca="false">IF(N35="Never",1,IF(N35="Rarely",2,IF(N35="Monthly",3,IF(N35="Weekly",4,5))))</f>
        <v>5</v>
      </c>
      <c r="P35" s="7" t="n">
        <v>4</v>
      </c>
      <c r="Q35" s="7" t="n">
        <v>5</v>
      </c>
      <c r="R35" s="7" t="n">
        <v>5</v>
      </c>
      <c r="S35" s="7" t="n">
        <v>4</v>
      </c>
      <c r="T35" s="7" t="n">
        <v>4</v>
      </c>
      <c r="U35" s="7" t="n">
        <v>5</v>
      </c>
      <c r="V35" s="7" t="n">
        <v>5</v>
      </c>
      <c r="W35" s="7" t="n">
        <v>3</v>
      </c>
      <c r="X35" s="7" t="n">
        <v>2</v>
      </c>
      <c r="Y35" s="7" t="n">
        <v>2</v>
      </c>
      <c r="Z35" s="9" t="n">
        <f aca="false">6-W35</f>
        <v>3</v>
      </c>
      <c r="AA35" s="9" t="n">
        <f aca="false">6-X35</f>
        <v>4</v>
      </c>
      <c r="AB35" s="9" t="n">
        <f aca="false">6-Y35</f>
        <v>4</v>
      </c>
      <c r="AC35" s="10" t="n">
        <f aca="false">AVERAGE(H35:J35)</f>
        <v>4.33333333333333</v>
      </c>
      <c r="AD35" s="10" t="n">
        <f aca="false">AVERAGE(K35:M35)</f>
        <v>4</v>
      </c>
      <c r="AE35" s="10" t="n">
        <f aca="false">AVERAGE(P35,S35,V35)</f>
        <v>4.33333333333333</v>
      </c>
      <c r="AF35" s="10" t="n">
        <f aca="false">AVERAGE(Q35,R35)</f>
        <v>5</v>
      </c>
      <c r="AG35" s="10" t="n">
        <f aca="false">AVERAGE(T35,U35)</f>
        <v>4.5</v>
      </c>
      <c r="AH35" s="10" t="n">
        <f aca="false">AVERAGE(W35:Y35)</f>
        <v>2.33333333333333</v>
      </c>
      <c r="AI35" s="7" t="s">
        <v>59</v>
      </c>
      <c r="AJ35" s="7" t="s">
        <v>59</v>
      </c>
    </row>
    <row r="36" customFormat="false" ht="15" hidden="false" customHeight="true" outlineLevel="0" collapsed="false">
      <c r="A36" s="7" t="n">
        <v>75</v>
      </c>
      <c r="B36" s="8" t="n">
        <v>46295</v>
      </c>
      <c r="C36" s="7" t="s">
        <v>75</v>
      </c>
      <c r="D36" s="7" t="s">
        <v>54</v>
      </c>
      <c r="E36" s="7" t="s">
        <v>55</v>
      </c>
      <c r="F36" s="7" t="s">
        <v>62</v>
      </c>
      <c r="G36" s="7" t="s">
        <v>63</v>
      </c>
      <c r="H36" s="7" t="n">
        <v>3</v>
      </c>
      <c r="I36" s="7" t="n">
        <v>4</v>
      </c>
      <c r="J36" s="7" t="n">
        <v>4</v>
      </c>
      <c r="K36" s="7" t="n">
        <v>5</v>
      </c>
      <c r="L36" s="7" t="n">
        <v>5</v>
      </c>
      <c r="M36" s="7" t="n">
        <v>4</v>
      </c>
      <c r="N36" s="7" t="s">
        <v>64</v>
      </c>
      <c r="O36" s="7" t="n">
        <f aca="false">IF(N36="Never",1,IF(N36="Rarely",2,IF(N36="Monthly",3,IF(N36="Weekly",4,5))))</f>
        <v>5</v>
      </c>
      <c r="P36" s="7" t="n">
        <v>4</v>
      </c>
      <c r="Q36" s="7" t="n">
        <v>4</v>
      </c>
      <c r="R36" s="7" t="n">
        <v>3</v>
      </c>
      <c r="S36" s="7" t="n">
        <v>3</v>
      </c>
      <c r="T36" s="7" t="n">
        <v>4</v>
      </c>
      <c r="U36" s="7" t="n">
        <v>4</v>
      </c>
      <c r="V36" s="7" t="n">
        <v>5</v>
      </c>
      <c r="W36" s="7" t="n">
        <v>3</v>
      </c>
      <c r="X36" s="7" t="n">
        <v>3</v>
      </c>
      <c r="Y36" s="7" t="n">
        <v>2</v>
      </c>
      <c r="Z36" s="9" t="n">
        <f aca="false">6-W36</f>
        <v>3</v>
      </c>
      <c r="AA36" s="9" t="n">
        <f aca="false">6-X36</f>
        <v>3</v>
      </c>
      <c r="AB36" s="9" t="n">
        <f aca="false">6-Y36</f>
        <v>4</v>
      </c>
      <c r="AC36" s="10" t="n">
        <f aca="false">AVERAGE(H36:J36)</f>
        <v>3.66666666666667</v>
      </c>
      <c r="AD36" s="10" t="n">
        <f aca="false">AVERAGE(K36:M36)</f>
        <v>4.66666666666667</v>
      </c>
      <c r="AE36" s="10" t="n">
        <f aca="false">AVERAGE(P36,S36,V36)</f>
        <v>4</v>
      </c>
      <c r="AF36" s="10" t="n">
        <f aca="false">AVERAGE(Q36,R36)</f>
        <v>3.5</v>
      </c>
      <c r="AG36" s="10" t="n">
        <f aca="false">AVERAGE(T36,U36)</f>
        <v>4</v>
      </c>
      <c r="AH36" s="10" t="n">
        <f aca="false">AVERAGE(W36:Y36)</f>
        <v>2.66666666666667</v>
      </c>
      <c r="AI36" s="7" t="s">
        <v>59</v>
      </c>
      <c r="AJ36" s="7" t="s">
        <v>59</v>
      </c>
    </row>
    <row r="37" customFormat="false" ht="15" hidden="false" customHeight="true" outlineLevel="0" collapsed="false">
      <c r="A37" s="7" t="n">
        <v>77</v>
      </c>
      <c r="B37" s="8" t="n">
        <v>46295</v>
      </c>
      <c r="C37" s="7" t="s">
        <v>53</v>
      </c>
      <c r="D37" s="7" t="s">
        <v>61</v>
      </c>
      <c r="E37" s="7" t="s">
        <v>55</v>
      </c>
      <c r="F37" s="7" t="s">
        <v>62</v>
      </c>
      <c r="G37" s="7" t="s">
        <v>63</v>
      </c>
      <c r="H37" s="7" t="n">
        <v>3</v>
      </c>
      <c r="I37" s="7" t="n">
        <v>4</v>
      </c>
      <c r="J37" s="7" t="n">
        <v>4</v>
      </c>
      <c r="K37" s="7" t="n">
        <v>3</v>
      </c>
      <c r="L37" s="7" t="n">
        <v>4</v>
      </c>
      <c r="M37" s="7" t="n">
        <v>4</v>
      </c>
      <c r="N37" s="7" t="s">
        <v>64</v>
      </c>
      <c r="O37" s="7" t="n">
        <f aca="false">IF(N37="Never",1,IF(N37="Rarely",2,IF(N37="Monthly",3,IF(N37="Weekly",4,5))))</f>
        <v>5</v>
      </c>
      <c r="P37" s="7" t="n">
        <v>4</v>
      </c>
      <c r="Q37" s="7" t="n">
        <v>4</v>
      </c>
      <c r="R37" s="7" t="n">
        <v>5</v>
      </c>
      <c r="S37" s="7" t="n">
        <v>3</v>
      </c>
      <c r="T37" s="7" t="n">
        <v>5</v>
      </c>
      <c r="U37" s="7" t="n">
        <v>5</v>
      </c>
      <c r="V37" s="7" t="n">
        <v>4</v>
      </c>
      <c r="W37" s="7" t="n">
        <v>3</v>
      </c>
      <c r="X37" s="7" t="n">
        <v>3</v>
      </c>
      <c r="Y37" s="7" t="n">
        <v>2</v>
      </c>
      <c r="Z37" s="9" t="n">
        <f aca="false">6-W37</f>
        <v>3</v>
      </c>
      <c r="AA37" s="9" t="n">
        <f aca="false">6-X37</f>
        <v>3</v>
      </c>
      <c r="AB37" s="9" t="n">
        <f aca="false">6-Y37</f>
        <v>4</v>
      </c>
      <c r="AC37" s="10" t="n">
        <f aca="false">AVERAGE(H37:J37)</f>
        <v>3.66666666666667</v>
      </c>
      <c r="AD37" s="10" t="n">
        <f aca="false">AVERAGE(K37:M37)</f>
        <v>3.66666666666667</v>
      </c>
      <c r="AE37" s="10" t="n">
        <f aca="false">AVERAGE(P37,S37,V37)</f>
        <v>3.66666666666667</v>
      </c>
      <c r="AF37" s="10" t="n">
        <f aca="false">AVERAGE(Q37,R37)</f>
        <v>4.5</v>
      </c>
      <c r="AG37" s="10" t="n">
        <f aca="false">AVERAGE(T37,U37)</f>
        <v>5</v>
      </c>
      <c r="AH37" s="10" t="n">
        <f aca="false">AVERAGE(W37:Y37)</f>
        <v>2.66666666666667</v>
      </c>
      <c r="AI37" s="7" t="s">
        <v>59</v>
      </c>
      <c r="AJ37" s="7" t="s">
        <v>59</v>
      </c>
    </row>
    <row r="38" customFormat="false" ht="15" hidden="false" customHeight="true" outlineLevel="0" collapsed="false">
      <c r="A38" s="7" t="n">
        <v>78</v>
      </c>
      <c r="B38" s="8" t="n">
        <v>46295</v>
      </c>
      <c r="C38" s="7" t="s">
        <v>75</v>
      </c>
      <c r="D38" s="7" t="s">
        <v>54</v>
      </c>
      <c r="E38" s="7" t="s">
        <v>55</v>
      </c>
      <c r="F38" s="7" t="s">
        <v>65</v>
      </c>
      <c r="G38" s="7" t="s">
        <v>57</v>
      </c>
      <c r="H38" s="7" t="n">
        <v>4</v>
      </c>
      <c r="I38" s="7" t="n">
        <v>4</v>
      </c>
      <c r="J38" s="7" t="n">
        <v>5</v>
      </c>
      <c r="K38" s="7" t="n">
        <v>4</v>
      </c>
      <c r="L38" s="7" t="n">
        <v>3</v>
      </c>
      <c r="M38" s="7" t="n">
        <v>4</v>
      </c>
      <c r="N38" s="7" t="s">
        <v>64</v>
      </c>
      <c r="O38" s="7" t="n">
        <f aca="false">IF(N38="Never",1,IF(N38="Rarely",2,IF(N38="Monthly",3,IF(N38="Weekly",4,5))))</f>
        <v>5</v>
      </c>
      <c r="P38" s="7" t="n">
        <v>5</v>
      </c>
      <c r="Q38" s="7" t="n">
        <v>4</v>
      </c>
      <c r="R38" s="7" t="n">
        <v>4</v>
      </c>
      <c r="S38" s="7" t="n">
        <v>5</v>
      </c>
      <c r="T38" s="7" t="n">
        <v>4</v>
      </c>
      <c r="U38" s="7" t="n">
        <v>3</v>
      </c>
      <c r="V38" s="7" t="n">
        <v>3</v>
      </c>
      <c r="W38" s="7" t="n">
        <v>2</v>
      </c>
      <c r="X38" s="7" t="n">
        <v>3</v>
      </c>
      <c r="Y38" s="7" t="n">
        <v>2</v>
      </c>
      <c r="Z38" s="9" t="n">
        <f aca="false">6-W38</f>
        <v>4</v>
      </c>
      <c r="AA38" s="9" t="n">
        <f aca="false">6-X38</f>
        <v>3</v>
      </c>
      <c r="AB38" s="9" t="n">
        <f aca="false">6-Y38</f>
        <v>4</v>
      </c>
      <c r="AC38" s="10" t="n">
        <f aca="false">AVERAGE(H38:J38)</f>
        <v>4.33333333333333</v>
      </c>
      <c r="AD38" s="10" t="n">
        <f aca="false">AVERAGE(K38:M38)</f>
        <v>3.66666666666667</v>
      </c>
      <c r="AE38" s="10" t="n">
        <f aca="false">AVERAGE(P38,S38,V38)</f>
        <v>4.33333333333333</v>
      </c>
      <c r="AF38" s="10" t="n">
        <f aca="false">AVERAGE(Q38,R38)</f>
        <v>4</v>
      </c>
      <c r="AG38" s="10" t="n">
        <f aca="false">AVERAGE(T38,U38)</f>
        <v>3.5</v>
      </c>
      <c r="AH38" s="10" t="n">
        <f aca="false">AVERAGE(W38:Y38)</f>
        <v>2.33333333333333</v>
      </c>
      <c r="AI38" s="7" t="s">
        <v>59</v>
      </c>
      <c r="AJ38" s="7" t="s">
        <v>59</v>
      </c>
    </row>
    <row r="39" customFormat="false" ht="15" hidden="false" customHeight="true" outlineLevel="0" collapsed="false">
      <c r="A39" s="7" t="n">
        <v>80</v>
      </c>
      <c r="B39" s="8" t="n">
        <v>46295</v>
      </c>
      <c r="C39" s="7" t="s">
        <v>75</v>
      </c>
      <c r="D39" s="7" t="s">
        <v>54</v>
      </c>
      <c r="E39" s="7" t="s">
        <v>55</v>
      </c>
      <c r="F39" s="7" t="s">
        <v>65</v>
      </c>
      <c r="G39" s="7" t="s">
        <v>57</v>
      </c>
      <c r="H39" s="7" t="n">
        <v>4</v>
      </c>
      <c r="I39" s="7" t="n">
        <v>5</v>
      </c>
      <c r="J39" s="7" t="n">
        <v>4</v>
      </c>
      <c r="K39" s="7" t="n">
        <v>4</v>
      </c>
      <c r="L39" s="7" t="n">
        <v>3</v>
      </c>
      <c r="M39" s="7" t="n">
        <v>4</v>
      </c>
      <c r="N39" s="7" t="s">
        <v>64</v>
      </c>
      <c r="O39" s="7" t="n">
        <f aca="false">IF(N39="Never",1,IF(N39="Rarely",2,IF(N39="Monthly",3,IF(N39="Weekly",4,5))))</f>
        <v>5</v>
      </c>
      <c r="P39" s="7" t="n">
        <v>5</v>
      </c>
      <c r="Q39" s="7" t="n">
        <v>4</v>
      </c>
      <c r="R39" s="7" t="n">
        <v>5</v>
      </c>
      <c r="S39" s="7" t="n">
        <v>4</v>
      </c>
      <c r="T39" s="7" t="n">
        <v>4</v>
      </c>
      <c r="U39" s="7" t="n">
        <v>5</v>
      </c>
      <c r="V39" s="7" t="n">
        <v>5</v>
      </c>
      <c r="W39" s="7" t="n">
        <v>3</v>
      </c>
      <c r="X39" s="7" t="n">
        <v>2</v>
      </c>
      <c r="Y39" s="7" t="n">
        <v>2</v>
      </c>
      <c r="Z39" s="9" t="n">
        <f aca="false">6-W39</f>
        <v>3</v>
      </c>
      <c r="AA39" s="9" t="n">
        <f aca="false">6-X39</f>
        <v>4</v>
      </c>
      <c r="AB39" s="9" t="n">
        <f aca="false">6-Y39</f>
        <v>4</v>
      </c>
      <c r="AC39" s="10" t="n">
        <f aca="false">AVERAGE(H39:J39)</f>
        <v>4.33333333333333</v>
      </c>
      <c r="AD39" s="10" t="n">
        <f aca="false">AVERAGE(K39:M39)</f>
        <v>3.66666666666667</v>
      </c>
      <c r="AE39" s="10" t="n">
        <f aca="false">AVERAGE(P39,S39,V39)</f>
        <v>4.66666666666667</v>
      </c>
      <c r="AF39" s="10" t="n">
        <f aca="false">AVERAGE(Q39,R39)</f>
        <v>4.5</v>
      </c>
      <c r="AG39" s="10" t="n">
        <f aca="false">AVERAGE(T39,U39)</f>
        <v>4.5</v>
      </c>
      <c r="AH39" s="10" t="n">
        <f aca="false">AVERAGE(W39:Y39)</f>
        <v>2.33333333333333</v>
      </c>
      <c r="AI39" s="7" t="s">
        <v>59</v>
      </c>
      <c r="AJ39" s="7" t="s">
        <v>59</v>
      </c>
    </row>
    <row r="40" customFormat="false" ht="15" hidden="false" customHeight="true" outlineLevel="0" collapsed="false">
      <c r="A40" s="7" t="n">
        <v>81</v>
      </c>
      <c r="B40" s="8" t="n">
        <v>46295</v>
      </c>
      <c r="C40" s="7" t="s">
        <v>53</v>
      </c>
      <c r="D40" s="7" t="s">
        <v>54</v>
      </c>
      <c r="E40" s="7" t="s">
        <v>55</v>
      </c>
      <c r="F40" s="7" t="s">
        <v>78</v>
      </c>
      <c r="G40" s="7" t="s">
        <v>57</v>
      </c>
      <c r="H40" s="7" t="n">
        <v>3</v>
      </c>
      <c r="I40" s="7" t="n">
        <v>4</v>
      </c>
      <c r="J40" s="7" t="n">
        <v>5</v>
      </c>
      <c r="K40" s="7" t="n">
        <v>5</v>
      </c>
      <c r="L40" s="7" t="n">
        <v>4</v>
      </c>
      <c r="M40" s="7" t="n">
        <v>4</v>
      </c>
      <c r="N40" s="7" t="s">
        <v>64</v>
      </c>
      <c r="O40" s="7" t="n">
        <f aca="false">IF(N40="Never",1,IF(N40="Rarely",2,IF(N40="Monthly",3,IF(N40="Weekly",4,5))))</f>
        <v>5</v>
      </c>
      <c r="P40" s="7" t="n">
        <v>4</v>
      </c>
      <c r="Q40" s="7" t="n">
        <v>4</v>
      </c>
      <c r="R40" s="7" t="n">
        <v>5</v>
      </c>
      <c r="S40" s="7" t="n">
        <v>4</v>
      </c>
      <c r="T40" s="7" t="n">
        <v>4</v>
      </c>
      <c r="U40" s="7" t="n">
        <v>4</v>
      </c>
      <c r="V40" s="7" t="n">
        <v>4</v>
      </c>
      <c r="W40" s="7" t="n">
        <v>3</v>
      </c>
      <c r="X40" s="7" t="n">
        <v>2</v>
      </c>
      <c r="Y40" s="7" t="n">
        <v>2</v>
      </c>
      <c r="Z40" s="9" t="n">
        <f aca="false">6-W40</f>
        <v>3</v>
      </c>
      <c r="AA40" s="9" t="n">
        <f aca="false">6-X40</f>
        <v>4</v>
      </c>
      <c r="AB40" s="9" t="n">
        <f aca="false">6-Y40</f>
        <v>4</v>
      </c>
      <c r="AC40" s="10" t="n">
        <f aca="false">AVERAGE(H40:J40)</f>
        <v>4</v>
      </c>
      <c r="AD40" s="10" t="n">
        <f aca="false">AVERAGE(K40:M40)</f>
        <v>4.33333333333333</v>
      </c>
      <c r="AE40" s="10" t="n">
        <f aca="false">AVERAGE(P40,S40,V40)</f>
        <v>4</v>
      </c>
      <c r="AF40" s="10" t="n">
        <f aca="false">AVERAGE(Q40,R40)</f>
        <v>4.5</v>
      </c>
      <c r="AG40" s="10" t="n">
        <f aca="false">AVERAGE(T40,U40)</f>
        <v>4</v>
      </c>
      <c r="AH40" s="10" t="n">
        <f aca="false">AVERAGE(W40:Y40)</f>
        <v>2.33333333333333</v>
      </c>
      <c r="AI40" s="7" t="s">
        <v>59</v>
      </c>
      <c r="AJ40" s="7" t="s">
        <v>59</v>
      </c>
    </row>
    <row r="41" customFormat="false" ht="15" hidden="false" customHeight="true" outlineLevel="0" collapsed="false">
      <c r="A41" s="7" t="n">
        <v>82</v>
      </c>
      <c r="B41" s="8" t="n">
        <v>46295</v>
      </c>
      <c r="C41" s="7" t="s">
        <v>53</v>
      </c>
      <c r="D41" s="7" t="s">
        <v>81</v>
      </c>
      <c r="E41" s="7" t="s">
        <v>55</v>
      </c>
      <c r="F41" s="7" t="s">
        <v>73</v>
      </c>
      <c r="G41" s="7" t="s">
        <v>57</v>
      </c>
      <c r="H41" s="7" t="n">
        <v>4</v>
      </c>
      <c r="I41" s="7" t="n">
        <v>3</v>
      </c>
      <c r="J41" s="7" t="n">
        <v>4</v>
      </c>
      <c r="K41" s="7" t="n">
        <v>5</v>
      </c>
      <c r="L41" s="7" t="n">
        <v>5</v>
      </c>
      <c r="M41" s="7" t="n">
        <v>4</v>
      </c>
      <c r="N41" s="7" t="s">
        <v>71</v>
      </c>
      <c r="O41" s="7" t="n">
        <f aca="false">IF(N41="Never",1,IF(N41="Rarely",2,IF(N41="Monthly",3,IF(N41="Weekly",4,5))))</f>
        <v>1</v>
      </c>
      <c r="P41" s="7" t="n">
        <v>3</v>
      </c>
      <c r="Q41" s="7" t="n">
        <v>4</v>
      </c>
      <c r="R41" s="7" t="n">
        <v>4</v>
      </c>
      <c r="S41" s="7" t="n">
        <v>5</v>
      </c>
      <c r="T41" s="7" t="n">
        <v>4</v>
      </c>
      <c r="U41" s="7" t="n">
        <v>4</v>
      </c>
      <c r="V41" s="7" t="n">
        <v>5</v>
      </c>
      <c r="W41" s="7" t="n">
        <v>3</v>
      </c>
      <c r="X41" s="7" t="n">
        <v>2</v>
      </c>
      <c r="Y41" s="7" t="n">
        <v>3</v>
      </c>
      <c r="Z41" s="9" t="n">
        <f aca="false">6-W41</f>
        <v>3</v>
      </c>
      <c r="AA41" s="9" t="n">
        <f aca="false">6-X41</f>
        <v>4</v>
      </c>
      <c r="AB41" s="9" t="n">
        <f aca="false">6-Y41</f>
        <v>3</v>
      </c>
      <c r="AC41" s="10" t="n">
        <f aca="false">AVERAGE(H41:J41)</f>
        <v>3.66666666666667</v>
      </c>
      <c r="AD41" s="10" t="n">
        <f aca="false">AVERAGE(K41:M41)</f>
        <v>4.66666666666667</v>
      </c>
      <c r="AE41" s="10" t="n">
        <f aca="false">AVERAGE(P41,S41,V41)</f>
        <v>4.33333333333333</v>
      </c>
      <c r="AF41" s="10" t="n">
        <f aca="false">AVERAGE(Q41,R41)</f>
        <v>4</v>
      </c>
      <c r="AG41" s="10" t="n">
        <f aca="false">AVERAGE(T41,U41)</f>
        <v>4</v>
      </c>
      <c r="AH41" s="10" t="n">
        <f aca="false">AVERAGE(W41:Y41)</f>
        <v>2.66666666666667</v>
      </c>
      <c r="AI41" s="7" t="s">
        <v>59</v>
      </c>
      <c r="AJ41" s="7" t="s">
        <v>59</v>
      </c>
    </row>
    <row r="42" customFormat="false" ht="15" hidden="false" customHeight="true" outlineLevel="0" collapsed="false">
      <c r="A42" s="7" t="n">
        <v>83</v>
      </c>
      <c r="B42" s="8" t="n">
        <v>46295</v>
      </c>
      <c r="C42" s="7" t="s">
        <v>53</v>
      </c>
      <c r="D42" s="7" t="s">
        <v>54</v>
      </c>
      <c r="E42" s="7" t="s">
        <v>55</v>
      </c>
      <c r="F42" s="7" t="s">
        <v>82</v>
      </c>
      <c r="G42" s="7" t="s">
        <v>63</v>
      </c>
      <c r="H42" s="7" t="n">
        <v>4</v>
      </c>
      <c r="I42" s="7" t="n">
        <v>4</v>
      </c>
      <c r="J42" s="7" t="n">
        <v>5</v>
      </c>
      <c r="K42" s="7" t="n">
        <v>4</v>
      </c>
      <c r="L42" s="7" t="n">
        <v>5</v>
      </c>
      <c r="M42" s="7" t="n">
        <v>5</v>
      </c>
      <c r="N42" s="7" t="s">
        <v>64</v>
      </c>
      <c r="O42" s="7" t="n">
        <f aca="false">IF(N42="Never",1,IF(N42="Rarely",2,IF(N42="Monthly",3,IF(N42="Weekly",4,5))))</f>
        <v>5</v>
      </c>
      <c r="P42" s="7" t="n">
        <v>3</v>
      </c>
      <c r="Q42" s="7" t="n">
        <v>4</v>
      </c>
      <c r="R42" s="7" t="n">
        <v>4</v>
      </c>
      <c r="S42" s="7" t="n">
        <v>4</v>
      </c>
      <c r="T42" s="7" t="n">
        <v>5</v>
      </c>
      <c r="U42" s="7" t="n">
        <v>5</v>
      </c>
      <c r="V42" s="7" t="n">
        <v>4</v>
      </c>
      <c r="W42" s="7" t="n">
        <v>3</v>
      </c>
      <c r="X42" s="7" t="n">
        <v>2</v>
      </c>
      <c r="Y42" s="7" t="n">
        <v>1</v>
      </c>
      <c r="Z42" s="9" t="n">
        <f aca="false">6-W42</f>
        <v>3</v>
      </c>
      <c r="AA42" s="9" t="n">
        <f aca="false">6-X42</f>
        <v>4</v>
      </c>
      <c r="AB42" s="9" t="n">
        <f aca="false">6-Y42</f>
        <v>5</v>
      </c>
      <c r="AC42" s="10" t="n">
        <f aca="false">AVERAGE(H42:J42)</f>
        <v>4.33333333333333</v>
      </c>
      <c r="AD42" s="10" t="n">
        <f aca="false">AVERAGE(K42:M42)</f>
        <v>4.66666666666667</v>
      </c>
      <c r="AE42" s="10" t="n">
        <f aca="false">AVERAGE(P42,S42,V42)</f>
        <v>3.66666666666667</v>
      </c>
      <c r="AF42" s="10" t="n">
        <f aca="false">AVERAGE(Q42,R42)</f>
        <v>4</v>
      </c>
      <c r="AG42" s="10" t="n">
        <f aca="false">AVERAGE(T42,U42)</f>
        <v>5</v>
      </c>
      <c r="AH42" s="10" t="n">
        <f aca="false">AVERAGE(W42:Y42)</f>
        <v>2</v>
      </c>
      <c r="AI42" s="7" t="s">
        <v>59</v>
      </c>
      <c r="AJ42" s="7" t="s">
        <v>59</v>
      </c>
    </row>
    <row r="43" customFormat="false" ht="15" hidden="false" customHeight="true" outlineLevel="0" collapsed="false">
      <c r="A43" s="7" t="n">
        <v>84</v>
      </c>
      <c r="B43" s="8" t="n">
        <v>46295</v>
      </c>
      <c r="C43" s="7" t="s">
        <v>53</v>
      </c>
      <c r="D43" s="7" t="s">
        <v>61</v>
      </c>
      <c r="E43" s="7" t="s">
        <v>55</v>
      </c>
      <c r="F43" s="7" t="s">
        <v>79</v>
      </c>
      <c r="G43" s="7" t="s">
        <v>63</v>
      </c>
      <c r="H43" s="7" t="n">
        <v>3</v>
      </c>
      <c r="I43" s="7" t="n">
        <v>4</v>
      </c>
      <c r="J43" s="7" t="n">
        <v>5</v>
      </c>
      <c r="K43" s="7" t="n">
        <v>5</v>
      </c>
      <c r="L43" s="7" t="n">
        <v>4</v>
      </c>
      <c r="M43" s="7" t="n">
        <v>3</v>
      </c>
      <c r="N43" s="7" t="s">
        <v>64</v>
      </c>
      <c r="O43" s="7" t="n">
        <f aca="false">IF(N43="Never",1,IF(N43="Rarely",2,IF(N43="Monthly",3,IF(N43="Weekly",4,5))))</f>
        <v>5</v>
      </c>
      <c r="P43" s="7" t="n">
        <v>5</v>
      </c>
      <c r="Q43" s="7" t="n">
        <v>5</v>
      </c>
      <c r="R43" s="7" t="n">
        <v>4</v>
      </c>
      <c r="S43" s="7" t="n">
        <v>4</v>
      </c>
      <c r="T43" s="7" t="n">
        <v>3</v>
      </c>
      <c r="U43" s="7" t="n">
        <v>4</v>
      </c>
      <c r="V43" s="7" t="n">
        <v>5</v>
      </c>
      <c r="W43" s="7" t="n">
        <v>3</v>
      </c>
      <c r="X43" s="7" t="n">
        <v>3</v>
      </c>
      <c r="Y43" s="7" t="n">
        <v>2</v>
      </c>
      <c r="Z43" s="9" t="n">
        <f aca="false">6-W43</f>
        <v>3</v>
      </c>
      <c r="AA43" s="9" t="n">
        <f aca="false">6-X43</f>
        <v>3</v>
      </c>
      <c r="AB43" s="9" t="n">
        <f aca="false">6-Y43</f>
        <v>4</v>
      </c>
      <c r="AC43" s="10" t="n">
        <f aca="false">AVERAGE(H43:J43)</f>
        <v>4</v>
      </c>
      <c r="AD43" s="10" t="n">
        <f aca="false">AVERAGE(K43:M43)</f>
        <v>4</v>
      </c>
      <c r="AE43" s="10" t="n">
        <f aca="false">AVERAGE(P43,S43,V43)</f>
        <v>4.66666666666667</v>
      </c>
      <c r="AF43" s="10" t="n">
        <f aca="false">AVERAGE(Q43,R43)</f>
        <v>4.5</v>
      </c>
      <c r="AG43" s="10" t="n">
        <f aca="false">AVERAGE(T43,U43)</f>
        <v>3.5</v>
      </c>
      <c r="AH43" s="10" t="n">
        <f aca="false">AVERAGE(W43:Y43)</f>
        <v>2.66666666666667</v>
      </c>
      <c r="AI43" s="7" t="s">
        <v>59</v>
      </c>
      <c r="AJ43" s="7" t="s">
        <v>59</v>
      </c>
    </row>
    <row r="44" customFormat="false" ht="15" hidden="false" customHeight="true" outlineLevel="0" collapsed="false">
      <c r="A44" s="7" t="n">
        <v>85</v>
      </c>
      <c r="B44" s="8" t="n">
        <v>46295</v>
      </c>
      <c r="C44" s="7" t="s">
        <v>75</v>
      </c>
      <c r="D44" s="7" t="s">
        <v>61</v>
      </c>
      <c r="E44" s="7" t="s">
        <v>55</v>
      </c>
      <c r="F44" s="7" t="s">
        <v>65</v>
      </c>
      <c r="G44" s="7" t="s">
        <v>57</v>
      </c>
      <c r="H44" s="7" t="n">
        <v>4</v>
      </c>
      <c r="I44" s="7" t="n">
        <v>4</v>
      </c>
      <c r="J44" s="7" t="n">
        <v>5</v>
      </c>
      <c r="K44" s="7" t="n">
        <v>4</v>
      </c>
      <c r="L44" s="7" t="n">
        <v>5</v>
      </c>
      <c r="M44" s="7" t="n">
        <v>5</v>
      </c>
      <c r="N44" s="7" t="s">
        <v>66</v>
      </c>
      <c r="O44" s="7" t="n">
        <f aca="false">IF(N44="Never",1,IF(N44="Rarely",2,IF(N44="Monthly",3,IF(N44="Weekly",4,5))))</f>
        <v>4</v>
      </c>
      <c r="P44" s="7" t="n">
        <v>4</v>
      </c>
      <c r="Q44" s="7" t="n">
        <v>5</v>
      </c>
      <c r="R44" s="7" t="n">
        <v>5</v>
      </c>
      <c r="S44" s="7" t="n">
        <v>4</v>
      </c>
      <c r="T44" s="7" t="n">
        <v>4</v>
      </c>
      <c r="U44" s="7" t="n">
        <v>3</v>
      </c>
      <c r="V44" s="7" t="n">
        <v>4</v>
      </c>
      <c r="W44" s="7" t="n">
        <v>3</v>
      </c>
      <c r="X44" s="7" t="n">
        <v>2</v>
      </c>
      <c r="Y44" s="7" t="n">
        <v>3</v>
      </c>
      <c r="Z44" s="9" t="n">
        <f aca="false">6-W44</f>
        <v>3</v>
      </c>
      <c r="AA44" s="9" t="n">
        <f aca="false">6-X44</f>
        <v>4</v>
      </c>
      <c r="AB44" s="9" t="n">
        <f aca="false">6-Y44</f>
        <v>3</v>
      </c>
      <c r="AC44" s="10" t="n">
        <f aca="false">AVERAGE(H44:J44)</f>
        <v>4.33333333333333</v>
      </c>
      <c r="AD44" s="10" t="n">
        <f aca="false">AVERAGE(K44:M44)</f>
        <v>4.66666666666667</v>
      </c>
      <c r="AE44" s="10" t="n">
        <f aca="false">AVERAGE(P44,S44,V44)</f>
        <v>4</v>
      </c>
      <c r="AF44" s="10" t="n">
        <f aca="false">AVERAGE(Q44,R44)</f>
        <v>5</v>
      </c>
      <c r="AG44" s="10" t="n">
        <f aca="false">AVERAGE(T44,U44)</f>
        <v>3.5</v>
      </c>
      <c r="AH44" s="10" t="n">
        <f aca="false">AVERAGE(W44:Y44)</f>
        <v>2.66666666666667</v>
      </c>
      <c r="AI44" s="7" t="s">
        <v>59</v>
      </c>
      <c r="AJ44" s="7" t="s">
        <v>59</v>
      </c>
    </row>
    <row r="45" customFormat="false" ht="15" hidden="false" customHeight="true" outlineLevel="0" collapsed="false">
      <c r="A45" s="7" t="n">
        <v>86</v>
      </c>
      <c r="B45" s="8" t="n">
        <v>46295</v>
      </c>
      <c r="C45" s="7" t="s">
        <v>75</v>
      </c>
      <c r="D45" s="7" t="s">
        <v>54</v>
      </c>
      <c r="E45" s="7" t="s">
        <v>55</v>
      </c>
      <c r="F45" s="7" t="s">
        <v>62</v>
      </c>
      <c r="G45" s="7" t="s">
        <v>63</v>
      </c>
      <c r="H45" s="7" t="n">
        <v>4</v>
      </c>
      <c r="I45" s="7" t="n">
        <v>4</v>
      </c>
      <c r="J45" s="7" t="n">
        <v>5</v>
      </c>
      <c r="K45" s="7" t="n">
        <v>5</v>
      </c>
      <c r="L45" s="7" t="n">
        <v>4</v>
      </c>
      <c r="M45" s="7" t="n">
        <v>4</v>
      </c>
      <c r="N45" s="7" t="s">
        <v>66</v>
      </c>
      <c r="O45" s="7" t="n">
        <f aca="false">IF(N45="Never",1,IF(N45="Rarely",2,IF(N45="Monthly",3,IF(N45="Weekly",4,5))))</f>
        <v>4</v>
      </c>
      <c r="P45" s="7" t="n">
        <v>3</v>
      </c>
      <c r="Q45" s="7" t="n">
        <v>4</v>
      </c>
      <c r="R45" s="7" t="n">
        <v>4</v>
      </c>
      <c r="S45" s="7" t="n">
        <v>5</v>
      </c>
      <c r="T45" s="7" t="n">
        <v>4</v>
      </c>
      <c r="U45" s="7" t="n">
        <v>4</v>
      </c>
      <c r="V45" s="7" t="n">
        <v>5</v>
      </c>
      <c r="W45" s="7" t="n">
        <v>2</v>
      </c>
      <c r="X45" s="7" t="n">
        <v>3</v>
      </c>
      <c r="Y45" s="7" t="n">
        <v>2</v>
      </c>
      <c r="Z45" s="9" t="n">
        <f aca="false">6-W45</f>
        <v>4</v>
      </c>
      <c r="AA45" s="9" t="n">
        <f aca="false">6-X45</f>
        <v>3</v>
      </c>
      <c r="AB45" s="9" t="n">
        <f aca="false">6-Y45</f>
        <v>4</v>
      </c>
      <c r="AC45" s="10" t="n">
        <f aca="false">AVERAGE(H45:J45)</f>
        <v>4.33333333333333</v>
      </c>
      <c r="AD45" s="10" t="n">
        <f aca="false">AVERAGE(K45:M45)</f>
        <v>4.33333333333333</v>
      </c>
      <c r="AE45" s="10" t="n">
        <f aca="false">AVERAGE(P45,S45,V45)</f>
        <v>4.33333333333333</v>
      </c>
      <c r="AF45" s="10" t="n">
        <f aca="false">AVERAGE(Q45,R45)</f>
        <v>4</v>
      </c>
      <c r="AG45" s="10" t="n">
        <f aca="false">AVERAGE(T45,U45)</f>
        <v>4</v>
      </c>
      <c r="AH45" s="10" t="n">
        <f aca="false">AVERAGE(W45:Y45)</f>
        <v>2.33333333333333</v>
      </c>
      <c r="AI45" s="7" t="s">
        <v>59</v>
      </c>
      <c r="AJ45" s="7" t="s">
        <v>59</v>
      </c>
    </row>
    <row r="46" customFormat="false" ht="15" hidden="false" customHeight="true" outlineLevel="0" collapsed="false">
      <c r="A46" s="7" t="n">
        <v>87</v>
      </c>
      <c r="B46" s="8" t="n">
        <v>46295</v>
      </c>
      <c r="C46" s="7" t="s">
        <v>75</v>
      </c>
      <c r="D46" s="7" t="s">
        <v>61</v>
      </c>
      <c r="E46" s="7" t="s">
        <v>55</v>
      </c>
      <c r="F46" s="7" t="s">
        <v>78</v>
      </c>
      <c r="G46" s="7" t="s">
        <v>57</v>
      </c>
      <c r="H46" s="7" t="n">
        <v>4</v>
      </c>
      <c r="I46" s="7" t="n">
        <v>4</v>
      </c>
      <c r="J46" s="7" t="n">
        <v>5</v>
      </c>
      <c r="K46" s="7" t="n">
        <v>5</v>
      </c>
      <c r="L46" s="7" t="n">
        <v>4</v>
      </c>
      <c r="M46" s="7" t="n">
        <v>4</v>
      </c>
      <c r="N46" s="7" t="s">
        <v>64</v>
      </c>
      <c r="O46" s="7" t="n">
        <f aca="false">IF(N46="Never",1,IF(N46="Rarely",2,IF(N46="Monthly",3,IF(N46="Weekly",4,5))))</f>
        <v>5</v>
      </c>
      <c r="P46" s="7" t="n">
        <v>3</v>
      </c>
      <c r="Q46" s="7" t="n">
        <v>4</v>
      </c>
      <c r="R46" s="7" t="n">
        <v>4</v>
      </c>
      <c r="S46" s="7" t="n">
        <v>5</v>
      </c>
      <c r="T46" s="7" t="n">
        <v>5</v>
      </c>
      <c r="U46" s="7" t="n">
        <v>4</v>
      </c>
      <c r="V46" s="7" t="n">
        <v>4</v>
      </c>
      <c r="W46" s="7" t="n">
        <v>3</v>
      </c>
      <c r="X46" s="7" t="n">
        <v>2</v>
      </c>
      <c r="Y46" s="7" t="n">
        <v>2</v>
      </c>
      <c r="Z46" s="9" t="n">
        <f aca="false">6-W46</f>
        <v>3</v>
      </c>
      <c r="AA46" s="9" t="n">
        <f aca="false">6-X46</f>
        <v>4</v>
      </c>
      <c r="AB46" s="9" t="n">
        <f aca="false">6-Y46</f>
        <v>4</v>
      </c>
      <c r="AC46" s="10" t="n">
        <f aca="false">AVERAGE(H46:J46)</f>
        <v>4.33333333333333</v>
      </c>
      <c r="AD46" s="10" t="n">
        <f aca="false">AVERAGE(K46:M46)</f>
        <v>4.33333333333333</v>
      </c>
      <c r="AE46" s="10" t="n">
        <f aca="false">AVERAGE(P46,S46,V46)</f>
        <v>4</v>
      </c>
      <c r="AF46" s="10" t="n">
        <f aca="false">AVERAGE(Q46,R46)</f>
        <v>4</v>
      </c>
      <c r="AG46" s="10" t="n">
        <f aca="false">AVERAGE(T46,U46)</f>
        <v>4.5</v>
      </c>
      <c r="AH46" s="10" t="n">
        <f aca="false">AVERAGE(W46:Y46)</f>
        <v>2.33333333333333</v>
      </c>
      <c r="AI46" s="7" t="s">
        <v>59</v>
      </c>
      <c r="AJ46" s="7" t="s">
        <v>59</v>
      </c>
    </row>
    <row r="47" customFormat="false" ht="15" hidden="false" customHeight="true" outlineLevel="0" collapsed="false">
      <c r="A47" s="7" t="n">
        <v>88</v>
      </c>
      <c r="B47" s="8" t="n">
        <v>46295</v>
      </c>
      <c r="C47" s="7" t="s">
        <v>75</v>
      </c>
      <c r="D47" s="7" t="s">
        <v>54</v>
      </c>
      <c r="E47" s="7" t="s">
        <v>55</v>
      </c>
      <c r="F47" s="7" t="s">
        <v>65</v>
      </c>
      <c r="G47" s="7" t="s">
        <v>57</v>
      </c>
      <c r="H47" s="7" t="n">
        <v>4</v>
      </c>
      <c r="I47" s="7" t="n">
        <v>4</v>
      </c>
      <c r="J47" s="7" t="n">
        <v>5</v>
      </c>
      <c r="K47" s="7" t="n">
        <v>5</v>
      </c>
      <c r="L47" s="7" t="n">
        <v>4</v>
      </c>
      <c r="M47" s="7" t="n">
        <v>4</v>
      </c>
      <c r="N47" s="7" t="s">
        <v>64</v>
      </c>
      <c r="O47" s="7" t="n">
        <f aca="false">IF(N47="Never",1,IF(N47="Rarely",2,IF(N47="Monthly",3,IF(N47="Weekly",4,5))))</f>
        <v>5</v>
      </c>
      <c r="P47" s="7" t="n">
        <v>4</v>
      </c>
      <c r="Q47" s="7" t="n">
        <v>4</v>
      </c>
      <c r="R47" s="7" t="n">
        <v>5</v>
      </c>
      <c r="S47" s="7" t="n">
        <v>5</v>
      </c>
      <c r="T47" s="7" t="n">
        <v>4</v>
      </c>
      <c r="U47" s="7" t="n">
        <v>4</v>
      </c>
      <c r="V47" s="7" t="n">
        <v>4</v>
      </c>
      <c r="W47" s="7" t="n">
        <v>3</v>
      </c>
      <c r="X47" s="7" t="n">
        <v>3</v>
      </c>
      <c r="Y47" s="7" t="n">
        <v>2</v>
      </c>
      <c r="Z47" s="9" t="n">
        <f aca="false">6-W47</f>
        <v>3</v>
      </c>
      <c r="AA47" s="9" t="n">
        <f aca="false">6-X47</f>
        <v>3</v>
      </c>
      <c r="AB47" s="9" t="n">
        <f aca="false">6-Y47</f>
        <v>4</v>
      </c>
      <c r="AC47" s="10" t="n">
        <f aca="false">AVERAGE(H47:J47)</f>
        <v>4.33333333333333</v>
      </c>
      <c r="AD47" s="10" t="n">
        <f aca="false">AVERAGE(K47:M47)</f>
        <v>4.33333333333333</v>
      </c>
      <c r="AE47" s="10" t="n">
        <f aca="false">AVERAGE(P47,S47,V47)</f>
        <v>4.33333333333333</v>
      </c>
      <c r="AF47" s="10" t="n">
        <f aca="false">AVERAGE(Q47,R47)</f>
        <v>4.5</v>
      </c>
      <c r="AG47" s="10" t="n">
        <f aca="false">AVERAGE(T47,U47)</f>
        <v>4</v>
      </c>
      <c r="AH47" s="10" t="n">
        <f aca="false">AVERAGE(W47:Y47)</f>
        <v>2.66666666666667</v>
      </c>
      <c r="AI47" s="7" t="s">
        <v>59</v>
      </c>
      <c r="AJ47" s="7" t="s">
        <v>59</v>
      </c>
    </row>
    <row r="48" customFormat="false" ht="15" hidden="false" customHeight="true" outlineLevel="0" collapsed="false">
      <c r="A48" s="7" t="n">
        <v>90</v>
      </c>
      <c r="B48" s="8" t="n">
        <v>46295</v>
      </c>
      <c r="C48" s="7" t="s">
        <v>53</v>
      </c>
      <c r="D48" s="7" t="s">
        <v>54</v>
      </c>
      <c r="E48" s="7" t="s">
        <v>55</v>
      </c>
      <c r="F48" s="7" t="s">
        <v>65</v>
      </c>
      <c r="G48" s="7" t="s">
        <v>57</v>
      </c>
      <c r="H48" s="7" t="n">
        <v>4</v>
      </c>
      <c r="I48" s="7" t="n">
        <v>3</v>
      </c>
      <c r="J48" s="7" t="n">
        <v>4</v>
      </c>
      <c r="K48" s="7" t="n">
        <v>5</v>
      </c>
      <c r="L48" s="7" t="n">
        <v>3</v>
      </c>
      <c r="M48" s="7" t="n">
        <v>4</v>
      </c>
      <c r="N48" s="7" t="s">
        <v>74</v>
      </c>
      <c r="O48" s="7" t="n">
        <f aca="false">IF(N48="Never",1,IF(N48="Rarely",2,IF(N48="Monthly",3,IF(N48="Weekly",4,5))))</f>
        <v>3</v>
      </c>
      <c r="P48" s="7" t="n">
        <v>4</v>
      </c>
      <c r="Q48" s="7" t="n">
        <v>3</v>
      </c>
      <c r="R48" s="7" t="n">
        <v>3</v>
      </c>
      <c r="S48" s="7" t="n">
        <v>3</v>
      </c>
      <c r="T48" s="7" t="n">
        <v>4</v>
      </c>
      <c r="U48" s="7" t="n">
        <v>5</v>
      </c>
      <c r="V48" s="7" t="n">
        <v>3</v>
      </c>
      <c r="W48" s="7" t="n">
        <v>3</v>
      </c>
      <c r="X48" s="7" t="n">
        <v>2</v>
      </c>
      <c r="Y48" s="7" t="n">
        <v>2</v>
      </c>
      <c r="Z48" s="9" t="n">
        <f aca="false">6-W48</f>
        <v>3</v>
      </c>
      <c r="AA48" s="9" t="n">
        <f aca="false">6-X48</f>
        <v>4</v>
      </c>
      <c r="AB48" s="9" t="n">
        <f aca="false">6-Y48</f>
        <v>4</v>
      </c>
      <c r="AC48" s="10" t="n">
        <f aca="false">AVERAGE(H48:J48)</f>
        <v>3.66666666666667</v>
      </c>
      <c r="AD48" s="10" t="n">
        <f aca="false">AVERAGE(K48:M48)</f>
        <v>4</v>
      </c>
      <c r="AE48" s="10" t="n">
        <f aca="false">AVERAGE(P48,S48,V48)</f>
        <v>3.33333333333333</v>
      </c>
      <c r="AF48" s="10" t="n">
        <f aca="false">AVERAGE(Q48,R48)</f>
        <v>3</v>
      </c>
      <c r="AG48" s="10" t="n">
        <f aca="false">AVERAGE(T48,U48)</f>
        <v>4.5</v>
      </c>
      <c r="AH48" s="10" t="n">
        <f aca="false">AVERAGE(W48:Y48)</f>
        <v>2.33333333333333</v>
      </c>
      <c r="AI48" s="7" t="s">
        <v>59</v>
      </c>
      <c r="AJ48" s="7" t="s">
        <v>59</v>
      </c>
    </row>
    <row r="49" customFormat="false" ht="15" hidden="false" customHeight="true" outlineLevel="0" collapsed="false">
      <c r="A49" s="7" t="n">
        <v>92</v>
      </c>
      <c r="B49" s="8" t="n">
        <v>46295</v>
      </c>
      <c r="C49" s="7" t="s">
        <v>75</v>
      </c>
      <c r="D49" s="7" t="s">
        <v>54</v>
      </c>
      <c r="E49" s="7" t="s">
        <v>55</v>
      </c>
      <c r="F49" s="7" t="s">
        <v>65</v>
      </c>
      <c r="G49" s="7" t="s">
        <v>57</v>
      </c>
      <c r="H49" s="7" t="n">
        <v>3</v>
      </c>
      <c r="I49" s="7" t="n">
        <v>4</v>
      </c>
      <c r="J49" s="7" t="n">
        <v>3</v>
      </c>
      <c r="K49" s="7" t="n">
        <v>4</v>
      </c>
      <c r="L49" s="7" t="n">
        <v>3</v>
      </c>
      <c r="M49" s="7" t="n">
        <v>4</v>
      </c>
      <c r="N49" s="7" t="s">
        <v>74</v>
      </c>
      <c r="O49" s="7" t="n">
        <f aca="false">IF(N49="Never",1,IF(N49="Rarely",2,IF(N49="Monthly",3,IF(N49="Weekly",4,5))))</f>
        <v>3</v>
      </c>
      <c r="P49" s="7" t="n">
        <v>4</v>
      </c>
      <c r="Q49" s="7" t="n">
        <v>3</v>
      </c>
      <c r="R49" s="7" t="n">
        <v>5</v>
      </c>
      <c r="S49" s="7" t="n">
        <v>4</v>
      </c>
      <c r="T49" s="7" t="n">
        <v>3</v>
      </c>
      <c r="U49" s="7" t="n">
        <v>5</v>
      </c>
      <c r="V49" s="7" t="n">
        <v>5</v>
      </c>
      <c r="W49" s="7" t="n">
        <v>3</v>
      </c>
      <c r="X49" s="7" t="n">
        <v>3</v>
      </c>
      <c r="Y49" s="7" t="n">
        <v>4</v>
      </c>
      <c r="Z49" s="9" t="n">
        <f aca="false">6-W49</f>
        <v>3</v>
      </c>
      <c r="AA49" s="9" t="n">
        <f aca="false">6-X49</f>
        <v>3</v>
      </c>
      <c r="AB49" s="9" t="n">
        <f aca="false">6-Y49</f>
        <v>2</v>
      </c>
      <c r="AC49" s="10" t="n">
        <f aca="false">AVERAGE(H49:J49)</f>
        <v>3.33333333333333</v>
      </c>
      <c r="AD49" s="10" t="n">
        <f aca="false">AVERAGE(K49:M49)</f>
        <v>3.66666666666667</v>
      </c>
      <c r="AE49" s="10" t="n">
        <f aca="false">AVERAGE(P49,S49,V49)</f>
        <v>4.33333333333333</v>
      </c>
      <c r="AF49" s="10" t="n">
        <f aca="false">AVERAGE(Q49,R49)</f>
        <v>4</v>
      </c>
      <c r="AG49" s="10" t="n">
        <f aca="false">AVERAGE(T49,U49)</f>
        <v>4</v>
      </c>
      <c r="AH49" s="10" t="n">
        <f aca="false">AVERAGE(W49:Y49)</f>
        <v>3.33333333333333</v>
      </c>
      <c r="AI49" s="7" t="s">
        <v>59</v>
      </c>
      <c r="AJ49" s="7" t="s">
        <v>59</v>
      </c>
    </row>
    <row r="50" customFormat="false" ht="15" hidden="false" customHeight="true" outlineLevel="0" collapsed="false">
      <c r="A50" s="7" t="n">
        <v>93</v>
      </c>
      <c r="B50" s="8" t="n">
        <v>46295</v>
      </c>
      <c r="C50" s="7" t="s">
        <v>53</v>
      </c>
      <c r="D50" s="7" t="s">
        <v>54</v>
      </c>
      <c r="E50" s="7" t="s">
        <v>55</v>
      </c>
      <c r="F50" s="7" t="s">
        <v>79</v>
      </c>
      <c r="G50" s="7" t="s">
        <v>63</v>
      </c>
      <c r="H50" s="7" t="n">
        <v>4</v>
      </c>
      <c r="I50" s="7" t="n">
        <v>4</v>
      </c>
      <c r="J50" s="7" t="n">
        <v>4</v>
      </c>
      <c r="K50" s="7" t="n">
        <v>5</v>
      </c>
      <c r="L50" s="7" t="n">
        <v>5</v>
      </c>
      <c r="M50" s="7" t="n">
        <v>5</v>
      </c>
      <c r="N50" s="7" t="s">
        <v>64</v>
      </c>
      <c r="O50" s="7" t="n">
        <f aca="false">IF(N50="Never",1,IF(N50="Rarely",2,IF(N50="Monthly",3,IF(N50="Weekly",4,5))))</f>
        <v>5</v>
      </c>
      <c r="P50" s="7" t="n">
        <v>4</v>
      </c>
      <c r="Q50" s="7" t="n">
        <v>4</v>
      </c>
      <c r="R50" s="7" t="n">
        <v>4</v>
      </c>
      <c r="S50" s="7" t="n">
        <v>5</v>
      </c>
      <c r="T50" s="7" t="n">
        <v>5</v>
      </c>
      <c r="U50" s="7" t="n">
        <v>5</v>
      </c>
      <c r="V50" s="7" t="n">
        <v>4</v>
      </c>
      <c r="W50" s="7" t="n">
        <v>1</v>
      </c>
      <c r="X50" s="7" t="n">
        <v>2</v>
      </c>
      <c r="Y50" s="7" t="n">
        <v>1</v>
      </c>
      <c r="Z50" s="9" t="n">
        <f aca="false">6-W50</f>
        <v>5</v>
      </c>
      <c r="AA50" s="9" t="n">
        <f aca="false">6-X50</f>
        <v>4</v>
      </c>
      <c r="AB50" s="9" t="n">
        <f aca="false">6-Y50</f>
        <v>5</v>
      </c>
      <c r="AC50" s="10" t="n">
        <f aca="false">AVERAGE(H50:J50)</f>
        <v>4</v>
      </c>
      <c r="AD50" s="10" t="n">
        <f aca="false">AVERAGE(K50:M50)</f>
        <v>5</v>
      </c>
      <c r="AE50" s="10" t="n">
        <f aca="false">AVERAGE(P50,S50,V50)</f>
        <v>4.33333333333333</v>
      </c>
      <c r="AF50" s="10" t="n">
        <f aca="false">AVERAGE(Q50,R50)</f>
        <v>4</v>
      </c>
      <c r="AG50" s="10" t="n">
        <f aca="false">AVERAGE(T50,U50)</f>
        <v>5</v>
      </c>
      <c r="AH50" s="10" t="n">
        <f aca="false">AVERAGE(W50:Y50)</f>
        <v>1.33333333333333</v>
      </c>
      <c r="AI50" s="7" t="s">
        <v>59</v>
      </c>
      <c r="AJ50" s="7" t="s">
        <v>59</v>
      </c>
    </row>
    <row r="51" customFormat="false" ht="15" hidden="false" customHeight="true" outlineLevel="0" collapsed="false">
      <c r="A51" s="7" t="n">
        <v>94</v>
      </c>
      <c r="B51" s="8" t="n">
        <v>46295</v>
      </c>
      <c r="C51" s="7" t="s">
        <v>75</v>
      </c>
      <c r="D51" s="7" t="s">
        <v>54</v>
      </c>
      <c r="E51" s="7" t="s">
        <v>55</v>
      </c>
      <c r="F51" s="7" t="s">
        <v>73</v>
      </c>
      <c r="G51" s="7" t="s">
        <v>57</v>
      </c>
      <c r="H51" s="7" t="n">
        <v>3</v>
      </c>
      <c r="I51" s="7" t="n">
        <v>5</v>
      </c>
      <c r="J51" s="7" t="n">
        <v>4</v>
      </c>
      <c r="K51" s="7" t="n">
        <v>3</v>
      </c>
      <c r="L51" s="7" t="n">
        <v>4</v>
      </c>
      <c r="M51" s="7" t="n">
        <v>5</v>
      </c>
      <c r="N51" s="7" t="s">
        <v>66</v>
      </c>
      <c r="O51" s="7" t="n">
        <f aca="false">IF(N51="Never",1,IF(N51="Rarely",2,IF(N51="Monthly",3,IF(N51="Weekly",4,5))))</f>
        <v>4</v>
      </c>
      <c r="P51" s="7" t="n">
        <v>5</v>
      </c>
      <c r="Q51" s="7" t="n">
        <v>5</v>
      </c>
      <c r="R51" s="7" t="n">
        <v>4</v>
      </c>
      <c r="S51" s="7" t="n">
        <v>4</v>
      </c>
      <c r="T51" s="7" t="n">
        <v>4</v>
      </c>
      <c r="U51" s="7" t="n">
        <v>4</v>
      </c>
      <c r="V51" s="7" t="n">
        <v>5</v>
      </c>
      <c r="W51" s="7" t="n">
        <v>2</v>
      </c>
      <c r="X51" s="7" t="n">
        <v>2</v>
      </c>
      <c r="Y51" s="7" t="n">
        <v>1</v>
      </c>
      <c r="Z51" s="9" t="n">
        <f aca="false">6-W51</f>
        <v>4</v>
      </c>
      <c r="AA51" s="9" t="n">
        <f aca="false">6-X51</f>
        <v>4</v>
      </c>
      <c r="AB51" s="9" t="n">
        <f aca="false">6-Y51</f>
        <v>5</v>
      </c>
      <c r="AC51" s="10" t="n">
        <f aca="false">AVERAGE(H51:J51)</f>
        <v>4</v>
      </c>
      <c r="AD51" s="10" t="n">
        <f aca="false">AVERAGE(K51:M51)</f>
        <v>4</v>
      </c>
      <c r="AE51" s="10" t="n">
        <f aca="false">AVERAGE(P51,S51,V51)</f>
        <v>4.66666666666667</v>
      </c>
      <c r="AF51" s="10" t="n">
        <f aca="false">AVERAGE(Q51,R51)</f>
        <v>4.5</v>
      </c>
      <c r="AG51" s="10" t="n">
        <f aca="false">AVERAGE(T51,U51)</f>
        <v>4</v>
      </c>
      <c r="AH51" s="10" t="n">
        <f aca="false">AVERAGE(W51:Y51)</f>
        <v>1.66666666666667</v>
      </c>
      <c r="AI51" s="7" t="s">
        <v>59</v>
      </c>
      <c r="AJ51" s="7" t="s">
        <v>59</v>
      </c>
    </row>
    <row r="52" customFormat="false" ht="15" hidden="false" customHeight="true" outlineLevel="0" collapsed="false">
      <c r="A52" s="7" t="n">
        <v>95</v>
      </c>
      <c r="B52" s="8" t="n">
        <v>46295</v>
      </c>
      <c r="C52" s="7" t="s">
        <v>53</v>
      </c>
      <c r="D52" s="7" t="s">
        <v>54</v>
      </c>
      <c r="E52" s="7" t="s">
        <v>55</v>
      </c>
      <c r="F52" s="7" t="s">
        <v>65</v>
      </c>
      <c r="G52" s="7" t="s">
        <v>57</v>
      </c>
      <c r="H52" s="7" t="n">
        <v>4</v>
      </c>
      <c r="I52" s="7" t="n">
        <v>3</v>
      </c>
      <c r="J52" s="7" t="n">
        <v>3</v>
      </c>
      <c r="K52" s="7" t="n">
        <v>4</v>
      </c>
      <c r="L52" s="7" t="n">
        <v>3</v>
      </c>
      <c r="M52" s="7" t="n">
        <v>4</v>
      </c>
      <c r="N52" s="7" t="s">
        <v>64</v>
      </c>
      <c r="O52" s="7" t="n">
        <f aca="false">IF(N52="Never",1,IF(N52="Rarely",2,IF(N52="Monthly",3,IF(N52="Weekly",4,5))))</f>
        <v>5</v>
      </c>
      <c r="P52" s="7" t="n">
        <v>5</v>
      </c>
      <c r="Q52" s="7" t="n">
        <v>5</v>
      </c>
      <c r="R52" s="7" t="n">
        <v>4</v>
      </c>
      <c r="S52" s="7" t="n">
        <v>5</v>
      </c>
      <c r="T52" s="7" t="n">
        <v>4</v>
      </c>
      <c r="U52" s="7" t="n">
        <v>4</v>
      </c>
      <c r="V52" s="7" t="n">
        <v>5</v>
      </c>
      <c r="W52" s="7" t="n">
        <v>3</v>
      </c>
      <c r="X52" s="7" t="n">
        <v>2</v>
      </c>
      <c r="Y52" s="7" t="n">
        <v>2</v>
      </c>
      <c r="Z52" s="9" t="n">
        <f aca="false">6-W52</f>
        <v>3</v>
      </c>
      <c r="AA52" s="9" t="n">
        <f aca="false">6-X52</f>
        <v>4</v>
      </c>
      <c r="AB52" s="9" t="n">
        <f aca="false">6-Y52</f>
        <v>4</v>
      </c>
      <c r="AC52" s="10" t="n">
        <f aca="false">AVERAGE(H52:J52)</f>
        <v>3.33333333333333</v>
      </c>
      <c r="AD52" s="10" t="n">
        <f aca="false">AVERAGE(K52:M52)</f>
        <v>3.66666666666667</v>
      </c>
      <c r="AE52" s="10" t="n">
        <f aca="false">AVERAGE(P52,S52,V52)</f>
        <v>5</v>
      </c>
      <c r="AF52" s="10" t="n">
        <f aca="false">AVERAGE(Q52,R52)</f>
        <v>4.5</v>
      </c>
      <c r="AG52" s="10" t="n">
        <f aca="false">AVERAGE(T52,U52)</f>
        <v>4</v>
      </c>
      <c r="AH52" s="10" t="n">
        <f aca="false">AVERAGE(W52:Y52)</f>
        <v>2.33333333333333</v>
      </c>
      <c r="AI52" s="7" t="s">
        <v>59</v>
      </c>
      <c r="AJ52" s="7" t="s">
        <v>59</v>
      </c>
    </row>
    <row r="53" customFormat="false" ht="15" hidden="false" customHeight="true" outlineLevel="0" collapsed="false">
      <c r="A53" s="7" t="n">
        <v>96</v>
      </c>
      <c r="B53" s="8" t="n">
        <v>46295</v>
      </c>
      <c r="C53" s="7" t="s">
        <v>75</v>
      </c>
      <c r="D53" s="7" t="s">
        <v>61</v>
      </c>
      <c r="E53" s="7" t="s">
        <v>55</v>
      </c>
      <c r="F53" s="7" t="s">
        <v>78</v>
      </c>
      <c r="G53" s="7" t="s">
        <v>57</v>
      </c>
      <c r="H53" s="7" t="n">
        <v>3</v>
      </c>
      <c r="I53" s="7" t="n">
        <v>4</v>
      </c>
      <c r="J53" s="7" t="n">
        <v>5</v>
      </c>
      <c r="K53" s="7" t="n">
        <v>5</v>
      </c>
      <c r="L53" s="7" t="n">
        <v>4</v>
      </c>
      <c r="M53" s="7" t="n">
        <v>3</v>
      </c>
      <c r="N53" s="7" t="s">
        <v>64</v>
      </c>
      <c r="O53" s="7" t="n">
        <f aca="false">IF(N53="Never",1,IF(N53="Rarely",2,IF(N53="Monthly",3,IF(N53="Weekly",4,5))))</f>
        <v>5</v>
      </c>
      <c r="P53" s="7" t="n">
        <v>5</v>
      </c>
      <c r="Q53" s="7" t="n">
        <v>4</v>
      </c>
      <c r="R53" s="7" t="n">
        <v>5</v>
      </c>
      <c r="S53" s="7" t="n">
        <v>5</v>
      </c>
      <c r="T53" s="7" t="n">
        <v>4</v>
      </c>
      <c r="U53" s="7" t="n">
        <v>5</v>
      </c>
      <c r="V53" s="7" t="n">
        <v>4</v>
      </c>
      <c r="W53" s="7" t="n">
        <v>3</v>
      </c>
      <c r="X53" s="7" t="n">
        <v>2</v>
      </c>
      <c r="Y53" s="7" t="n">
        <v>2</v>
      </c>
      <c r="Z53" s="9" t="n">
        <f aca="false">6-W53</f>
        <v>3</v>
      </c>
      <c r="AA53" s="9" t="n">
        <f aca="false">6-X53</f>
        <v>4</v>
      </c>
      <c r="AB53" s="9" t="n">
        <f aca="false">6-Y53</f>
        <v>4</v>
      </c>
      <c r="AC53" s="10" t="n">
        <f aca="false">AVERAGE(H53:J53)</f>
        <v>4</v>
      </c>
      <c r="AD53" s="10" t="n">
        <f aca="false">AVERAGE(K53:M53)</f>
        <v>4</v>
      </c>
      <c r="AE53" s="10" t="n">
        <f aca="false">AVERAGE(P53,S53,V53)</f>
        <v>4.66666666666667</v>
      </c>
      <c r="AF53" s="10" t="n">
        <f aca="false">AVERAGE(Q53,R53)</f>
        <v>4.5</v>
      </c>
      <c r="AG53" s="10" t="n">
        <f aca="false">AVERAGE(T53,U53)</f>
        <v>4.5</v>
      </c>
      <c r="AH53" s="10" t="n">
        <f aca="false">AVERAGE(W53:Y53)</f>
        <v>2.33333333333333</v>
      </c>
      <c r="AI53" s="7" t="s">
        <v>59</v>
      </c>
      <c r="AJ53" s="7" t="s">
        <v>59</v>
      </c>
    </row>
    <row r="54" customFormat="false" ht="15" hidden="false" customHeight="true" outlineLevel="0" collapsed="false">
      <c r="A54" s="7" t="n">
        <v>97</v>
      </c>
      <c r="B54" s="8" t="n">
        <v>46295</v>
      </c>
      <c r="C54" s="7" t="s">
        <v>75</v>
      </c>
      <c r="D54" s="7" t="s">
        <v>54</v>
      </c>
      <c r="E54" s="7" t="s">
        <v>55</v>
      </c>
      <c r="F54" s="7" t="s">
        <v>62</v>
      </c>
      <c r="G54" s="7" t="s">
        <v>63</v>
      </c>
      <c r="H54" s="7" t="n">
        <v>4</v>
      </c>
      <c r="I54" s="7" t="n">
        <v>4</v>
      </c>
      <c r="J54" s="7" t="n">
        <v>5</v>
      </c>
      <c r="K54" s="7" t="n">
        <v>5</v>
      </c>
      <c r="L54" s="7" t="n">
        <v>3</v>
      </c>
      <c r="M54" s="7" t="n">
        <v>3</v>
      </c>
      <c r="N54" s="7" t="s">
        <v>64</v>
      </c>
      <c r="O54" s="7" t="n">
        <f aca="false">IF(N54="Never",1,IF(N54="Rarely",2,IF(N54="Monthly",3,IF(N54="Weekly",4,5))))</f>
        <v>5</v>
      </c>
      <c r="P54" s="7" t="n">
        <v>5</v>
      </c>
      <c r="Q54" s="7" t="n">
        <v>4</v>
      </c>
      <c r="R54" s="7" t="n">
        <v>4</v>
      </c>
      <c r="S54" s="7" t="n">
        <v>5</v>
      </c>
      <c r="T54" s="7" t="n">
        <v>4</v>
      </c>
      <c r="U54" s="7" t="n">
        <v>4</v>
      </c>
      <c r="V54" s="7" t="n">
        <v>5</v>
      </c>
      <c r="W54" s="7" t="n">
        <v>2</v>
      </c>
      <c r="X54" s="7" t="n">
        <v>2</v>
      </c>
      <c r="Y54" s="7" t="n">
        <v>3</v>
      </c>
      <c r="Z54" s="9" t="n">
        <f aca="false">6-W54</f>
        <v>4</v>
      </c>
      <c r="AA54" s="9" t="n">
        <f aca="false">6-X54</f>
        <v>4</v>
      </c>
      <c r="AB54" s="9" t="n">
        <f aca="false">6-Y54</f>
        <v>3</v>
      </c>
      <c r="AC54" s="10" t="n">
        <f aca="false">AVERAGE(H54:J54)</f>
        <v>4.33333333333333</v>
      </c>
      <c r="AD54" s="10" t="n">
        <f aca="false">AVERAGE(K54:M54)</f>
        <v>3.66666666666667</v>
      </c>
      <c r="AE54" s="10" t="n">
        <f aca="false">AVERAGE(P54,S54,V54)</f>
        <v>5</v>
      </c>
      <c r="AF54" s="10" t="n">
        <f aca="false">AVERAGE(Q54,R54)</f>
        <v>4</v>
      </c>
      <c r="AG54" s="10" t="n">
        <f aca="false">AVERAGE(T54,U54)</f>
        <v>4</v>
      </c>
      <c r="AH54" s="10" t="n">
        <f aca="false">AVERAGE(W54:Y54)</f>
        <v>2.33333333333333</v>
      </c>
      <c r="AI54" s="7" t="s">
        <v>59</v>
      </c>
      <c r="AJ54" s="7" t="s">
        <v>59</v>
      </c>
    </row>
    <row r="55" customFormat="false" ht="15" hidden="false" customHeight="true" outlineLevel="0" collapsed="false">
      <c r="A55" s="7" t="n">
        <v>98</v>
      </c>
      <c r="B55" s="8" t="n">
        <v>46295</v>
      </c>
      <c r="C55" s="7" t="s">
        <v>75</v>
      </c>
      <c r="D55" s="7" t="s">
        <v>54</v>
      </c>
      <c r="E55" s="7" t="s">
        <v>55</v>
      </c>
      <c r="F55" s="7" t="s">
        <v>73</v>
      </c>
      <c r="G55" s="7" t="s">
        <v>57</v>
      </c>
      <c r="H55" s="7" t="n">
        <v>4</v>
      </c>
      <c r="I55" s="7" t="n">
        <v>4</v>
      </c>
      <c r="J55" s="7" t="n">
        <v>5</v>
      </c>
      <c r="K55" s="7" t="n">
        <v>5</v>
      </c>
      <c r="L55" s="7" t="n">
        <v>4</v>
      </c>
      <c r="M55" s="7" t="n">
        <v>4</v>
      </c>
      <c r="N55" s="7" t="s">
        <v>64</v>
      </c>
      <c r="O55" s="7" t="n">
        <f aca="false">IF(N55="Never",1,IF(N55="Rarely",2,IF(N55="Monthly",3,IF(N55="Weekly",4,5))))</f>
        <v>5</v>
      </c>
      <c r="P55" s="7" t="n">
        <v>3</v>
      </c>
      <c r="Q55" s="7" t="n">
        <v>4</v>
      </c>
      <c r="R55" s="7" t="n">
        <v>4</v>
      </c>
      <c r="S55" s="7" t="n">
        <v>5</v>
      </c>
      <c r="T55" s="7" t="n">
        <v>5</v>
      </c>
      <c r="U55" s="7" t="n">
        <v>4</v>
      </c>
      <c r="V55" s="7" t="n">
        <v>3</v>
      </c>
      <c r="W55" s="7" t="n">
        <v>2</v>
      </c>
      <c r="X55" s="7" t="n">
        <v>2</v>
      </c>
      <c r="Y55" s="7" t="n">
        <v>1</v>
      </c>
      <c r="Z55" s="9" t="n">
        <f aca="false">6-W55</f>
        <v>4</v>
      </c>
      <c r="AA55" s="9" t="n">
        <f aca="false">6-X55</f>
        <v>4</v>
      </c>
      <c r="AB55" s="9" t="n">
        <f aca="false">6-Y55</f>
        <v>5</v>
      </c>
      <c r="AC55" s="10" t="n">
        <f aca="false">AVERAGE(H55:J55)</f>
        <v>4.33333333333333</v>
      </c>
      <c r="AD55" s="10" t="n">
        <f aca="false">AVERAGE(K55:M55)</f>
        <v>4.33333333333333</v>
      </c>
      <c r="AE55" s="10" t="n">
        <f aca="false">AVERAGE(P55,S55,V55)</f>
        <v>3.66666666666667</v>
      </c>
      <c r="AF55" s="10" t="n">
        <f aca="false">AVERAGE(Q55,R55)</f>
        <v>4</v>
      </c>
      <c r="AG55" s="10" t="n">
        <f aca="false">AVERAGE(T55,U55)</f>
        <v>4.5</v>
      </c>
      <c r="AH55" s="10" t="n">
        <f aca="false">AVERAGE(W55:Y55)</f>
        <v>1.66666666666667</v>
      </c>
      <c r="AI55" s="7" t="s">
        <v>59</v>
      </c>
      <c r="AJ55" s="7" t="s">
        <v>59</v>
      </c>
    </row>
    <row r="56" customFormat="false" ht="15" hidden="false" customHeight="true" outlineLevel="0" collapsed="false">
      <c r="A56" s="7" t="n">
        <v>5</v>
      </c>
      <c r="B56" s="8" t="n">
        <v>46293</v>
      </c>
      <c r="C56" s="7" t="s">
        <v>53</v>
      </c>
      <c r="D56" s="7" t="s">
        <v>61</v>
      </c>
      <c r="E56" s="7" t="s">
        <v>83</v>
      </c>
      <c r="F56" s="7" t="s">
        <v>84</v>
      </c>
      <c r="G56" s="7" t="s">
        <v>63</v>
      </c>
      <c r="H56" s="7" t="n">
        <v>5</v>
      </c>
      <c r="I56" s="7" t="n">
        <v>5</v>
      </c>
      <c r="J56" s="7" t="n">
        <v>5</v>
      </c>
      <c r="K56" s="7" t="n">
        <v>5</v>
      </c>
      <c r="L56" s="7" t="n">
        <v>5</v>
      </c>
      <c r="M56" s="7" t="n">
        <v>5</v>
      </c>
      <c r="N56" s="7" t="s">
        <v>64</v>
      </c>
      <c r="O56" s="7" t="n">
        <f aca="false">IF(N56="Never",1,IF(N56="Rarely",2,IF(N56="Monthly",3,IF(N56="Weekly",4,5))))</f>
        <v>5</v>
      </c>
      <c r="P56" s="7" t="n">
        <v>5</v>
      </c>
      <c r="Q56" s="7" t="n">
        <v>5</v>
      </c>
      <c r="R56" s="7" t="n">
        <v>5</v>
      </c>
      <c r="S56" s="7" t="n">
        <v>3</v>
      </c>
      <c r="T56" s="7" t="n">
        <v>5</v>
      </c>
      <c r="U56" s="7" t="n">
        <v>5</v>
      </c>
      <c r="V56" s="7" t="n">
        <v>5</v>
      </c>
      <c r="W56" s="7" t="n">
        <v>4</v>
      </c>
      <c r="X56" s="7" t="n">
        <v>5</v>
      </c>
      <c r="Y56" s="7" t="n">
        <v>2</v>
      </c>
      <c r="Z56" s="9" t="n">
        <f aca="false">6-W56</f>
        <v>2</v>
      </c>
      <c r="AA56" s="9" t="n">
        <f aca="false">6-X56</f>
        <v>1</v>
      </c>
      <c r="AB56" s="9" t="n">
        <f aca="false">6-Y56</f>
        <v>4</v>
      </c>
      <c r="AC56" s="10" t="n">
        <f aca="false">AVERAGE(H56:J56)</f>
        <v>5</v>
      </c>
      <c r="AD56" s="10" t="n">
        <f aca="false">AVERAGE(K56:M56)</f>
        <v>5</v>
      </c>
      <c r="AE56" s="10" t="n">
        <f aca="false">AVERAGE(P56,S56,V56)</f>
        <v>4.33333333333333</v>
      </c>
      <c r="AF56" s="10" t="n">
        <f aca="false">AVERAGE(Q56,R56)</f>
        <v>5</v>
      </c>
      <c r="AG56" s="10" t="n">
        <f aca="false">AVERAGE(T56,U56)</f>
        <v>5</v>
      </c>
      <c r="AH56" s="10" t="n">
        <f aca="false">AVERAGE(W56:Y56)</f>
        <v>3.66666666666667</v>
      </c>
      <c r="AI56" s="7" t="s">
        <v>59</v>
      </c>
      <c r="AJ56" s="7" t="s">
        <v>59</v>
      </c>
    </row>
    <row r="57" customFormat="false" ht="15" hidden="false" customHeight="true" outlineLevel="0" collapsed="false">
      <c r="A57" s="7" t="n">
        <v>6</v>
      </c>
      <c r="B57" s="8" t="n">
        <v>46293</v>
      </c>
      <c r="C57" s="7" t="s">
        <v>53</v>
      </c>
      <c r="D57" s="7" t="s">
        <v>61</v>
      </c>
      <c r="E57" s="7" t="s">
        <v>83</v>
      </c>
      <c r="F57" s="7" t="s">
        <v>84</v>
      </c>
      <c r="G57" s="7" t="s">
        <v>63</v>
      </c>
      <c r="H57" s="7" t="n">
        <v>5</v>
      </c>
      <c r="I57" s="7" t="n">
        <v>5</v>
      </c>
      <c r="J57" s="7" t="n">
        <v>5</v>
      </c>
      <c r="K57" s="7" t="n">
        <v>5</v>
      </c>
      <c r="L57" s="7" t="n">
        <v>5</v>
      </c>
      <c r="M57" s="7" t="n">
        <v>5</v>
      </c>
      <c r="N57" s="7" t="s">
        <v>64</v>
      </c>
      <c r="O57" s="7" t="n">
        <f aca="false">IF(N57="Never",1,IF(N57="Rarely",2,IF(N57="Monthly",3,IF(N57="Weekly",4,5))))</f>
        <v>5</v>
      </c>
      <c r="P57" s="7" t="n">
        <v>5</v>
      </c>
      <c r="Q57" s="7" t="n">
        <v>5</v>
      </c>
      <c r="R57" s="7" t="n">
        <v>5</v>
      </c>
      <c r="S57" s="7" t="n">
        <v>5</v>
      </c>
      <c r="T57" s="7" t="n">
        <v>5</v>
      </c>
      <c r="U57" s="7" t="n">
        <v>5</v>
      </c>
      <c r="V57" s="7" t="n">
        <v>4</v>
      </c>
      <c r="W57" s="7" t="n">
        <v>1</v>
      </c>
      <c r="X57" s="7" t="n">
        <v>3</v>
      </c>
      <c r="Y57" s="7" t="n">
        <v>5</v>
      </c>
      <c r="Z57" s="9" t="n">
        <f aca="false">6-W57</f>
        <v>5</v>
      </c>
      <c r="AA57" s="9" t="n">
        <f aca="false">6-X57</f>
        <v>3</v>
      </c>
      <c r="AB57" s="9" t="n">
        <f aca="false">6-Y57</f>
        <v>1</v>
      </c>
      <c r="AC57" s="10" t="n">
        <f aca="false">AVERAGE(H57:J57)</f>
        <v>5</v>
      </c>
      <c r="AD57" s="10" t="n">
        <f aca="false">AVERAGE(K57:M57)</f>
        <v>5</v>
      </c>
      <c r="AE57" s="10" t="n">
        <f aca="false">AVERAGE(P57,S57,V57)</f>
        <v>4.66666666666667</v>
      </c>
      <c r="AF57" s="10" t="n">
        <f aca="false">AVERAGE(Q57,R57)</f>
        <v>5</v>
      </c>
      <c r="AG57" s="10" t="n">
        <f aca="false">AVERAGE(T57,U57)</f>
        <v>5</v>
      </c>
      <c r="AH57" s="10" t="n">
        <f aca="false">AVERAGE(W57:Y57)</f>
        <v>3</v>
      </c>
      <c r="AI57" s="7" t="s">
        <v>59</v>
      </c>
      <c r="AJ57" s="7" t="s">
        <v>59</v>
      </c>
    </row>
    <row r="58" customFormat="false" ht="15" hidden="false" customHeight="true" outlineLevel="0" collapsed="false">
      <c r="A58" s="7" t="n">
        <v>7</v>
      </c>
      <c r="B58" s="8" t="n">
        <v>46293</v>
      </c>
      <c r="C58" s="7" t="s">
        <v>60</v>
      </c>
      <c r="D58" s="7" t="s">
        <v>54</v>
      </c>
      <c r="E58" s="7" t="s">
        <v>83</v>
      </c>
      <c r="F58" s="7" t="s">
        <v>85</v>
      </c>
      <c r="G58" s="7" t="s">
        <v>70</v>
      </c>
      <c r="H58" s="7" t="n">
        <v>3</v>
      </c>
      <c r="I58" s="7" t="n">
        <v>4</v>
      </c>
      <c r="J58" s="7" t="n">
        <v>5</v>
      </c>
      <c r="K58" s="7" t="n">
        <v>5</v>
      </c>
      <c r="L58" s="7" t="n">
        <v>5</v>
      </c>
      <c r="M58" s="7" t="n">
        <v>4</v>
      </c>
      <c r="N58" s="7" t="s">
        <v>64</v>
      </c>
      <c r="O58" s="7" t="n">
        <f aca="false">IF(N58="Never",1,IF(N58="Rarely",2,IF(N58="Monthly",3,IF(N58="Weekly",4,5))))</f>
        <v>5</v>
      </c>
      <c r="P58" s="7" t="n">
        <v>3</v>
      </c>
      <c r="Q58" s="7" t="n">
        <v>5</v>
      </c>
      <c r="R58" s="7" t="n">
        <v>4</v>
      </c>
      <c r="S58" s="7" t="n">
        <v>1</v>
      </c>
      <c r="T58" s="7" t="n">
        <v>3</v>
      </c>
      <c r="U58" s="7" t="n">
        <v>4</v>
      </c>
      <c r="V58" s="7" t="n">
        <v>3</v>
      </c>
      <c r="W58" s="7" t="n">
        <v>2</v>
      </c>
      <c r="X58" s="7" t="n">
        <v>1</v>
      </c>
      <c r="Y58" s="7" t="n">
        <v>2</v>
      </c>
      <c r="Z58" s="9" t="n">
        <f aca="false">6-W58</f>
        <v>4</v>
      </c>
      <c r="AA58" s="9" t="n">
        <f aca="false">6-X58</f>
        <v>5</v>
      </c>
      <c r="AB58" s="9" t="n">
        <f aca="false">6-Y58</f>
        <v>4</v>
      </c>
      <c r="AC58" s="10" t="n">
        <f aca="false">AVERAGE(H58:J58)</f>
        <v>4</v>
      </c>
      <c r="AD58" s="10" t="n">
        <f aca="false">AVERAGE(K58:M58)</f>
        <v>4.66666666666667</v>
      </c>
      <c r="AE58" s="10" t="n">
        <f aca="false">AVERAGE(P58,S58,V58)</f>
        <v>2.33333333333333</v>
      </c>
      <c r="AF58" s="10" t="n">
        <f aca="false">AVERAGE(Q58,R58)</f>
        <v>4.5</v>
      </c>
      <c r="AG58" s="10" t="n">
        <f aca="false">AVERAGE(T58,U58)</f>
        <v>3.5</v>
      </c>
      <c r="AH58" s="10" t="n">
        <f aca="false">AVERAGE(W58:Y58)</f>
        <v>1.66666666666667</v>
      </c>
      <c r="AI58" s="7" t="s">
        <v>59</v>
      </c>
      <c r="AJ58" s="7" t="s">
        <v>59</v>
      </c>
    </row>
    <row r="59" customFormat="false" ht="15" hidden="false" customHeight="true" outlineLevel="0" collapsed="false">
      <c r="A59" s="7" t="n">
        <v>8</v>
      </c>
      <c r="B59" s="8" t="n">
        <v>46293</v>
      </c>
      <c r="C59" s="7" t="s">
        <v>53</v>
      </c>
      <c r="D59" s="7" t="s">
        <v>54</v>
      </c>
      <c r="E59" s="7" t="s">
        <v>83</v>
      </c>
      <c r="F59" s="7" t="s">
        <v>86</v>
      </c>
      <c r="G59" s="7" t="s">
        <v>57</v>
      </c>
      <c r="H59" s="7" t="n">
        <v>4</v>
      </c>
      <c r="I59" s="7" t="n">
        <v>4</v>
      </c>
      <c r="J59" s="7" t="n">
        <v>4</v>
      </c>
      <c r="K59" s="7" t="n">
        <v>4</v>
      </c>
      <c r="L59" s="7" t="n">
        <v>4</v>
      </c>
      <c r="M59" s="7" t="n">
        <v>2</v>
      </c>
      <c r="N59" s="7" t="s">
        <v>66</v>
      </c>
      <c r="O59" s="7" t="n">
        <f aca="false">IF(N59="Never",1,IF(N59="Rarely",2,IF(N59="Monthly",3,IF(N59="Weekly",4,5))))</f>
        <v>4</v>
      </c>
      <c r="P59" s="7" t="n">
        <v>3</v>
      </c>
      <c r="Q59" s="7" t="n">
        <v>3</v>
      </c>
      <c r="R59" s="7" t="n">
        <v>4</v>
      </c>
      <c r="S59" s="7" t="n">
        <v>3</v>
      </c>
      <c r="T59" s="7" t="n">
        <v>4</v>
      </c>
      <c r="U59" s="7" t="n">
        <v>5</v>
      </c>
      <c r="V59" s="7" t="n">
        <v>3</v>
      </c>
      <c r="W59" s="7" t="n">
        <v>2</v>
      </c>
      <c r="X59" s="7" t="n">
        <v>3</v>
      </c>
      <c r="Y59" s="7" t="n">
        <v>4</v>
      </c>
      <c r="Z59" s="9" t="n">
        <f aca="false">6-W59</f>
        <v>4</v>
      </c>
      <c r="AA59" s="9" t="n">
        <f aca="false">6-X59</f>
        <v>3</v>
      </c>
      <c r="AB59" s="9" t="n">
        <f aca="false">6-Y59</f>
        <v>2</v>
      </c>
      <c r="AC59" s="10" t="n">
        <f aca="false">AVERAGE(H59:J59)</f>
        <v>4</v>
      </c>
      <c r="AD59" s="10" t="n">
        <f aca="false">AVERAGE(K59:M59)</f>
        <v>3.33333333333333</v>
      </c>
      <c r="AE59" s="10" t="n">
        <f aca="false">AVERAGE(P59,S59,V59)</f>
        <v>3</v>
      </c>
      <c r="AF59" s="10" t="n">
        <f aca="false">AVERAGE(Q59,R59)</f>
        <v>3.5</v>
      </c>
      <c r="AG59" s="10" t="n">
        <f aca="false">AVERAGE(T59,U59)</f>
        <v>4.5</v>
      </c>
      <c r="AH59" s="10" t="n">
        <f aca="false">AVERAGE(W59:Y59)</f>
        <v>3</v>
      </c>
      <c r="AI59" s="7" t="s">
        <v>59</v>
      </c>
      <c r="AJ59" s="7" t="s">
        <v>59</v>
      </c>
    </row>
    <row r="60" customFormat="false" ht="15" hidden="false" customHeight="true" outlineLevel="0" collapsed="false">
      <c r="A60" s="7" t="n">
        <v>15</v>
      </c>
      <c r="B60" s="8" t="n">
        <v>46293</v>
      </c>
      <c r="C60" s="7" t="s">
        <v>53</v>
      </c>
      <c r="D60" s="7" t="s">
        <v>54</v>
      </c>
      <c r="E60" s="7" t="s">
        <v>83</v>
      </c>
      <c r="F60" s="7" t="s">
        <v>87</v>
      </c>
      <c r="G60" s="7" t="s">
        <v>63</v>
      </c>
      <c r="H60" s="7" t="n">
        <v>5</v>
      </c>
      <c r="I60" s="7" t="n">
        <v>5</v>
      </c>
      <c r="J60" s="7" t="n">
        <v>5</v>
      </c>
      <c r="K60" s="7" t="n">
        <v>5</v>
      </c>
      <c r="L60" s="7" t="n">
        <v>5</v>
      </c>
      <c r="M60" s="7" t="n">
        <v>5</v>
      </c>
      <c r="N60" s="7" t="s">
        <v>64</v>
      </c>
      <c r="O60" s="7" t="n">
        <f aca="false">IF(N60="Never",1,IF(N60="Rarely",2,IF(N60="Monthly",3,IF(N60="Weekly",4,5))))</f>
        <v>5</v>
      </c>
      <c r="P60" s="7" t="n">
        <v>5</v>
      </c>
      <c r="Q60" s="7" t="n">
        <v>5</v>
      </c>
      <c r="R60" s="7" t="n">
        <v>5</v>
      </c>
      <c r="S60" s="7" t="n">
        <v>3</v>
      </c>
      <c r="T60" s="7" t="n">
        <v>5</v>
      </c>
      <c r="U60" s="7" t="n">
        <v>5</v>
      </c>
      <c r="V60" s="7" t="n">
        <v>5</v>
      </c>
      <c r="W60" s="7" t="n">
        <v>5</v>
      </c>
      <c r="X60" s="7" t="n">
        <v>5</v>
      </c>
      <c r="Y60" s="7" t="n">
        <v>5</v>
      </c>
      <c r="Z60" s="9" t="n">
        <f aca="false">6-W60</f>
        <v>1</v>
      </c>
      <c r="AA60" s="9" t="n">
        <f aca="false">6-X60</f>
        <v>1</v>
      </c>
      <c r="AB60" s="9" t="n">
        <f aca="false">6-Y60</f>
        <v>1</v>
      </c>
      <c r="AC60" s="10" t="n">
        <f aca="false">AVERAGE(H60:J60)</f>
        <v>5</v>
      </c>
      <c r="AD60" s="10" t="n">
        <f aca="false">AVERAGE(K60:M60)</f>
        <v>5</v>
      </c>
      <c r="AE60" s="10" t="n">
        <f aca="false">AVERAGE(P60,S60,V60)</f>
        <v>4.33333333333333</v>
      </c>
      <c r="AF60" s="10" t="n">
        <f aca="false">AVERAGE(Q60,R60)</f>
        <v>5</v>
      </c>
      <c r="AG60" s="10" t="n">
        <f aca="false">AVERAGE(T60,U60)</f>
        <v>5</v>
      </c>
      <c r="AH60" s="10" t="n">
        <f aca="false">AVERAGE(W60:Y60)</f>
        <v>5</v>
      </c>
      <c r="AI60" s="7" t="s">
        <v>59</v>
      </c>
      <c r="AJ60" s="7" t="s">
        <v>59</v>
      </c>
    </row>
    <row r="61" customFormat="false" ht="15" hidden="false" customHeight="true" outlineLevel="0" collapsed="false">
      <c r="A61" s="7" t="n">
        <v>18</v>
      </c>
      <c r="B61" s="8" t="n">
        <v>46293</v>
      </c>
      <c r="C61" s="7" t="s">
        <v>53</v>
      </c>
      <c r="D61" s="7" t="s">
        <v>61</v>
      </c>
      <c r="E61" s="7" t="s">
        <v>83</v>
      </c>
      <c r="F61" s="7" t="s">
        <v>77</v>
      </c>
      <c r="G61" s="7" t="s">
        <v>63</v>
      </c>
      <c r="H61" s="7" t="n">
        <v>5</v>
      </c>
      <c r="I61" s="7" t="n">
        <v>3</v>
      </c>
      <c r="J61" s="7" t="n">
        <v>4</v>
      </c>
      <c r="K61" s="7" t="n">
        <v>3</v>
      </c>
      <c r="L61" s="7" t="n">
        <v>3</v>
      </c>
      <c r="M61" s="7" t="n">
        <v>4</v>
      </c>
      <c r="N61" s="7" t="s">
        <v>64</v>
      </c>
      <c r="O61" s="7" t="n">
        <f aca="false">IF(N61="Never",1,IF(N61="Rarely",2,IF(N61="Monthly",3,IF(N61="Weekly",4,5))))</f>
        <v>5</v>
      </c>
      <c r="P61" s="7" t="n">
        <v>4</v>
      </c>
      <c r="Q61" s="7" t="n">
        <v>4</v>
      </c>
      <c r="R61" s="7" t="n">
        <v>4</v>
      </c>
      <c r="S61" s="7" t="n">
        <v>3</v>
      </c>
      <c r="T61" s="7" t="n">
        <v>3</v>
      </c>
      <c r="U61" s="7" t="n">
        <v>3</v>
      </c>
      <c r="V61" s="7" t="n">
        <v>5</v>
      </c>
      <c r="W61" s="7" t="n">
        <v>3</v>
      </c>
      <c r="X61" s="7" t="n">
        <v>4</v>
      </c>
      <c r="Y61" s="7" t="n">
        <v>2</v>
      </c>
      <c r="Z61" s="9" t="n">
        <f aca="false">6-W61</f>
        <v>3</v>
      </c>
      <c r="AA61" s="9" t="n">
        <f aca="false">6-X61</f>
        <v>2</v>
      </c>
      <c r="AB61" s="9" t="n">
        <f aca="false">6-Y61</f>
        <v>4</v>
      </c>
      <c r="AC61" s="10" t="n">
        <f aca="false">AVERAGE(H61:J61)</f>
        <v>4</v>
      </c>
      <c r="AD61" s="10" t="n">
        <f aca="false">AVERAGE(K61:M61)</f>
        <v>3.33333333333333</v>
      </c>
      <c r="AE61" s="10" t="n">
        <f aca="false">AVERAGE(P61,S61,V61)</f>
        <v>4</v>
      </c>
      <c r="AF61" s="10" t="n">
        <f aca="false">AVERAGE(Q61,R61)</f>
        <v>4</v>
      </c>
      <c r="AG61" s="10" t="n">
        <f aca="false">AVERAGE(T61,U61)</f>
        <v>3</v>
      </c>
      <c r="AH61" s="10" t="n">
        <f aca="false">AVERAGE(W61:Y61)</f>
        <v>3</v>
      </c>
      <c r="AI61" s="7" t="s">
        <v>59</v>
      </c>
      <c r="AJ61" s="7" t="s">
        <v>59</v>
      </c>
    </row>
    <row r="62" customFormat="false" ht="15" hidden="false" customHeight="true" outlineLevel="0" collapsed="false">
      <c r="A62" s="7" t="n">
        <v>25</v>
      </c>
      <c r="B62" s="8" t="n">
        <v>46293</v>
      </c>
      <c r="C62" s="7" t="s">
        <v>60</v>
      </c>
      <c r="D62" s="7" t="s">
        <v>54</v>
      </c>
      <c r="E62" s="7" t="s">
        <v>83</v>
      </c>
      <c r="F62" s="7" t="s">
        <v>88</v>
      </c>
      <c r="G62" s="7" t="s">
        <v>70</v>
      </c>
      <c r="H62" s="7" t="n">
        <v>4</v>
      </c>
      <c r="I62" s="7" t="n">
        <v>3</v>
      </c>
      <c r="J62" s="7" t="n">
        <v>3</v>
      </c>
      <c r="K62" s="7" t="n">
        <v>4</v>
      </c>
      <c r="L62" s="7" t="n">
        <v>4</v>
      </c>
      <c r="M62" s="7" t="n">
        <v>4</v>
      </c>
      <c r="N62" s="7" t="s">
        <v>74</v>
      </c>
      <c r="O62" s="7" t="n">
        <f aca="false">IF(N62="Never",1,IF(N62="Rarely",2,IF(N62="Monthly",3,IF(N62="Weekly",4,5))))</f>
        <v>3</v>
      </c>
      <c r="P62" s="7" t="n">
        <v>4</v>
      </c>
      <c r="Q62" s="7" t="n">
        <v>4</v>
      </c>
      <c r="R62" s="7" t="n">
        <v>3</v>
      </c>
      <c r="S62" s="7" t="n">
        <v>3</v>
      </c>
      <c r="T62" s="7" t="n">
        <v>4</v>
      </c>
      <c r="U62" s="7" t="n">
        <v>2</v>
      </c>
      <c r="V62" s="7" t="n">
        <v>3</v>
      </c>
      <c r="W62" s="7" t="n">
        <v>4</v>
      </c>
      <c r="X62" s="7" t="n">
        <v>5</v>
      </c>
      <c r="Y62" s="7" t="n">
        <v>3</v>
      </c>
      <c r="Z62" s="9" t="n">
        <f aca="false">6-W62</f>
        <v>2</v>
      </c>
      <c r="AA62" s="9" t="n">
        <f aca="false">6-X62</f>
        <v>1</v>
      </c>
      <c r="AB62" s="9" t="n">
        <f aca="false">6-Y62</f>
        <v>3</v>
      </c>
      <c r="AC62" s="10" t="n">
        <f aca="false">AVERAGE(H62:J62)</f>
        <v>3.33333333333333</v>
      </c>
      <c r="AD62" s="10" t="n">
        <f aca="false">AVERAGE(K62:M62)</f>
        <v>4</v>
      </c>
      <c r="AE62" s="10" t="n">
        <f aca="false">AVERAGE(P62,S62,V62)</f>
        <v>3.33333333333333</v>
      </c>
      <c r="AF62" s="10" t="n">
        <f aca="false">AVERAGE(Q62,R62)</f>
        <v>3.5</v>
      </c>
      <c r="AG62" s="10" t="n">
        <f aca="false">AVERAGE(T62,U62)</f>
        <v>3</v>
      </c>
      <c r="AH62" s="10" t="n">
        <f aca="false">AVERAGE(W62:Y62)</f>
        <v>4</v>
      </c>
      <c r="AI62" s="7" t="s">
        <v>59</v>
      </c>
      <c r="AJ62" s="7" t="s">
        <v>59</v>
      </c>
    </row>
    <row r="63" customFormat="false" ht="15" hidden="false" customHeight="true" outlineLevel="0" collapsed="false">
      <c r="A63" s="7" t="n">
        <v>26</v>
      </c>
      <c r="B63" s="8" t="n">
        <v>46293</v>
      </c>
      <c r="C63" s="7" t="s">
        <v>60</v>
      </c>
      <c r="D63" s="7" t="s">
        <v>54</v>
      </c>
      <c r="E63" s="7" t="s">
        <v>83</v>
      </c>
      <c r="F63" s="7" t="s">
        <v>89</v>
      </c>
      <c r="G63" s="7" t="s">
        <v>90</v>
      </c>
      <c r="H63" s="7" t="n">
        <v>5</v>
      </c>
      <c r="I63" s="7" t="n">
        <v>5</v>
      </c>
      <c r="J63" s="7" t="n">
        <v>5</v>
      </c>
      <c r="K63" s="7" t="n">
        <v>5</v>
      </c>
      <c r="L63" s="7" t="n">
        <v>5</v>
      </c>
      <c r="M63" s="7" t="n">
        <v>5</v>
      </c>
      <c r="N63" s="7" t="s">
        <v>64</v>
      </c>
      <c r="O63" s="7" t="n">
        <f aca="false">IF(N63="Never",1,IF(N63="Rarely",2,IF(N63="Monthly",3,IF(N63="Weekly",4,5))))</f>
        <v>5</v>
      </c>
      <c r="P63" s="7" t="n">
        <v>5</v>
      </c>
      <c r="Q63" s="7" t="n">
        <v>5</v>
      </c>
      <c r="R63" s="7" t="n">
        <v>5</v>
      </c>
      <c r="S63" s="7" t="n">
        <v>5</v>
      </c>
      <c r="T63" s="7" t="n">
        <v>5</v>
      </c>
      <c r="U63" s="7" t="n">
        <v>5</v>
      </c>
      <c r="V63" s="7" t="n">
        <v>5</v>
      </c>
      <c r="W63" s="7" t="n">
        <v>2</v>
      </c>
      <c r="X63" s="7" t="n">
        <v>1</v>
      </c>
      <c r="Y63" s="7" t="n">
        <v>1</v>
      </c>
      <c r="Z63" s="9" t="n">
        <f aca="false">6-W63</f>
        <v>4</v>
      </c>
      <c r="AA63" s="9" t="n">
        <f aca="false">6-X63</f>
        <v>5</v>
      </c>
      <c r="AB63" s="9" t="n">
        <f aca="false">6-Y63</f>
        <v>5</v>
      </c>
      <c r="AC63" s="10" t="n">
        <f aca="false">AVERAGE(H63:J63)</f>
        <v>5</v>
      </c>
      <c r="AD63" s="10" t="n">
        <f aca="false">AVERAGE(K63:M63)</f>
        <v>5</v>
      </c>
      <c r="AE63" s="10" t="n">
        <f aca="false">AVERAGE(P63,S63,V63)</f>
        <v>5</v>
      </c>
      <c r="AF63" s="10" t="n">
        <f aca="false">AVERAGE(Q63,R63)</f>
        <v>5</v>
      </c>
      <c r="AG63" s="10" t="n">
        <f aca="false">AVERAGE(T63,U63)</f>
        <v>5</v>
      </c>
      <c r="AH63" s="10" t="n">
        <f aca="false">AVERAGE(W63:Y63)</f>
        <v>1.33333333333333</v>
      </c>
      <c r="AI63" s="7" t="s">
        <v>59</v>
      </c>
      <c r="AJ63" s="7" t="s">
        <v>59</v>
      </c>
    </row>
    <row r="64" customFormat="false" ht="15" hidden="false" customHeight="true" outlineLevel="0" collapsed="false">
      <c r="A64" s="7" t="n">
        <v>27</v>
      </c>
      <c r="B64" s="8" t="n">
        <v>46293</v>
      </c>
      <c r="C64" s="7" t="s">
        <v>53</v>
      </c>
      <c r="D64" s="7" t="s">
        <v>54</v>
      </c>
      <c r="E64" s="7" t="s">
        <v>83</v>
      </c>
      <c r="F64" s="7" t="s">
        <v>91</v>
      </c>
      <c r="G64" s="7" t="s">
        <v>92</v>
      </c>
      <c r="H64" s="7" t="n">
        <v>5</v>
      </c>
      <c r="I64" s="7" t="n">
        <v>2</v>
      </c>
      <c r="J64" s="7" t="n">
        <v>4</v>
      </c>
      <c r="K64" s="7" t="n">
        <v>5</v>
      </c>
      <c r="L64" s="7" t="n">
        <v>4</v>
      </c>
      <c r="M64" s="7" t="n">
        <v>4</v>
      </c>
      <c r="N64" s="7" t="s">
        <v>64</v>
      </c>
      <c r="O64" s="7" t="n">
        <f aca="false">IF(N64="Never",1,IF(N64="Rarely",2,IF(N64="Monthly",3,IF(N64="Weekly",4,5))))</f>
        <v>5</v>
      </c>
      <c r="P64" s="7" t="n">
        <v>5</v>
      </c>
      <c r="Q64" s="7" t="n">
        <v>4</v>
      </c>
      <c r="R64" s="7" t="n">
        <v>3</v>
      </c>
      <c r="S64" s="7" t="n">
        <v>5</v>
      </c>
      <c r="T64" s="7" t="n">
        <v>5</v>
      </c>
      <c r="U64" s="7" t="n">
        <v>4</v>
      </c>
      <c r="V64" s="7" t="n">
        <v>4</v>
      </c>
      <c r="W64" s="7" t="n">
        <v>3</v>
      </c>
      <c r="X64" s="7" t="n">
        <v>4</v>
      </c>
      <c r="Y64" s="7" t="n">
        <v>1</v>
      </c>
      <c r="Z64" s="9" t="n">
        <f aca="false">6-W64</f>
        <v>3</v>
      </c>
      <c r="AA64" s="9" t="n">
        <f aca="false">6-X64</f>
        <v>2</v>
      </c>
      <c r="AB64" s="9" t="n">
        <f aca="false">6-Y64</f>
        <v>5</v>
      </c>
      <c r="AC64" s="10" t="n">
        <f aca="false">AVERAGE(H64:J64)</f>
        <v>3.66666666666667</v>
      </c>
      <c r="AD64" s="10" t="n">
        <f aca="false">AVERAGE(K64:M64)</f>
        <v>4.33333333333333</v>
      </c>
      <c r="AE64" s="10" t="n">
        <f aca="false">AVERAGE(P64,S64,V64)</f>
        <v>4.66666666666667</v>
      </c>
      <c r="AF64" s="10" t="n">
        <f aca="false">AVERAGE(Q64,R64)</f>
        <v>3.5</v>
      </c>
      <c r="AG64" s="10" t="n">
        <f aca="false">AVERAGE(T64,U64)</f>
        <v>4.5</v>
      </c>
      <c r="AH64" s="10" t="n">
        <f aca="false">AVERAGE(W64:Y64)</f>
        <v>2.66666666666667</v>
      </c>
      <c r="AI64" s="7" t="s">
        <v>59</v>
      </c>
      <c r="AJ64" s="7" t="s">
        <v>59</v>
      </c>
    </row>
    <row r="65" customFormat="false" ht="15" hidden="false" customHeight="true" outlineLevel="0" collapsed="false">
      <c r="A65" s="7" t="n">
        <v>28</v>
      </c>
      <c r="B65" s="8" t="n">
        <v>46294</v>
      </c>
      <c r="C65" s="7" t="s">
        <v>75</v>
      </c>
      <c r="D65" s="7" t="s">
        <v>54</v>
      </c>
      <c r="E65" s="7" t="s">
        <v>83</v>
      </c>
      <c r="F65" s="7" t="s">
        <v>93</v>
      </c>
      <c r="G65" s="7" t="s">
        <v>63</v>
      </c>
      <c r="H65" s="7" t="n">
        <v>5</v>
      </c>
      <c r="I65" s="7" t="n">
        <v>5</v>
      </c>
      <c r="J65" s="7" t="n">
        <v>5</v>
      </c>
      <c r="K65" s="7" t="n">
        <v>5</v>
      </c>
      <c r="L65" s="7" t="n">
        <v>5</v>
      </c>
      <c r="M65" s="7" t="n">
        <v>1</v>
      </c>
      <c r="N65" s="7" t="s">
        <v>66</v>
      </c>
      <c r="O65" s="7" t="n">
        <f aca="false">IF(N65="Never",1,IF(N65="Rarely",2,IF(N65="Monthly",3,IF(N65="Weekly",4,5))))</f>
        <v>4</v>
      </c>
      <c r="P65" s="7" t="n">
        <v>4</v>
      </c>
      <c r="Q65" s="7" t="n">
        <v>1</v>
      </c>
      <c r="R65" s="7" t="n">
        <v>4</v>
      </c>
      <c r="S65" s="7" t="n">
        <v>4</v>
      </c>
      <c r="T65" s="7" t="n">
        <v>4</v>
      </c>
      <c r="U65" s="7" t="n">
        <v>4</v>
      </c>
      <c r="V65" s="7" t="n">
        <v>3</v>
      </c>
      <c r="W65" s="7" t="n">
        <v>5</v>
      </c>
      <c r="X65" s="7" t="n">
        <v>5</v>
      </c>
      <c r="Y65" s="7" t="n">
        <v>5</v>
      </c>
      <c r="Z65" s="9" t="n">
        <f aca="false">6-W65</f>
        <v>1</v>
      </c>
      <c r="AA65" s="9" t="n">
        <f aca="false">6-X65</f>
        <v>1</v>
      </c>
      <c r="AB65" s="9" t="n">
        <f aca="false">6-Y65</f>
        <v>1</v>
      </c>
      <c r="AC65" s="10" t="n">
        <f aca="false">AVERAGE(H65:J65)</f>
        <v>5</v>
      </c>
      <c r="AD65" s="10" t="n">
        <f aca="false">AVERAGE(K65:M65)</f>
        <v>3.66666666666667</v>
      </c>
      <c r="AE65" s="10" t="n">
        <f aca="false">AVERAGE(P65,S65,V65)</f>
        <v>3.66666666666667</v>
      </c>
      <c r="AF65" s="10" t="n">
        <f aca="false">AVERAGE(Q65,R65)</f>
        <v>2.5</v>
      </c>
      <c r="AG65" s="10" t="n">
        <f aca="false">AVERAGE(T65,U65)</f>
        <v>4</v>
      </c>
      <c r="AH65" s="10" t="n">
        <f aca="false">AVERAGE(W65:Y65)</f>
        <v>5</v>
      </c>
      <c r="AI65" s="7" t="s">
        <v>59</v>
      </c>
      <c r="AJ65" s="7" t="s">
        <v>59</v>
      </c>
    </row>
    <row r="66" customFormat="false" ht="15" hidden="false" customHeight="true" outlineLevel="0" collapsed="false">
      <c r="A66" s="7" t="n">
        <v>29</v>
      </c>
      <c r="B66" s="8" t="n">
        <v>46294</v>
      </c>
      <c r="C66" s="7" t="s">
        <v>53</v>
      </c>
      <c r="D66" s="7" t="s">
        <v>61</v>
      </c>
      <c r="E66" s="7" t="s">
        <v>83</v>
      </c>
      <c r="F66" s="7" t="s">
        <v>94</v>
      </c>
      <c r="G66" s="7" t="s">
        <v>63</v>
      </c>
      <c r="H66" s="7" t="n">
        <v>5</v>
      </c>
      <c r="I66" s="7" t="n">
        <v>5</v>
      </c>
      <c r="J66" s="7" t="n">
        <v>5</v>
      </c>
      <c r="K66" s="7" t="n">
        <v>5</v>
      </c>
      <c r="L66" s="7" t="n">
        <v>5</v>
      </c>
      <c r="M66" s="7" t="n">
        <v>5</v>
      </c>
      <c r="N66" s="7" t="s">
        <v>66</v>
      </c>
      <c r="O66" s="7" t="n">
        <f aca="false">IF(N66="Never",1,IF(N66="Rarely",2,IF(N66="Monthly",3,IF(N66="Weekly",4,5))))</f>
        <v>4</v>
      </c>
      <c r="P66" s="7" t="n">
        <v>5</v>
      </c>
      <c r="Q66" s="7" t="n">
        <v>5</v>
      </c>
      <c r="R66" s="7" t="n">
        <v>5</v>
      </c>
      <c r="S66" s="7" t="n">
        <v>5</v>
      </c>
      <c r="T66" s="7" t="n">
        <v>5</v>
      </c>
      <c r="U66" s="7" t="n">
        <v>5</v>
      </c>
      <c r="V66" s="7" t="n">
        <v>5</v>
      </c>
      <c r="W66" s="7" t="n">
        <v>3</v>
      </c>
      <c r="X66" s="7" t="n">
        <v>5</v>
      </c>
      <c r="Y66" s="7" t="n">
        <v>5</v>
      </c>
      <c r="Z66" s="9" t="n">
        <f aca="false">6-W66</f>
        <v>3</v>
      </c>
      <c r="AA66" s="9" t="n">
        <f aca="false">6-X66</f>
        <v>1</v>
      </c>
      <c r="AB66" s="9" t="n">
        <f aca="false">6-Y66</f>
        <v>1</v>
      </c>
      <c r="AC66" s="10" t="n">
        <f aca="false">AVERAGE(H66:J66)</f>
        <v>5</v>
      </c>
      <c r="AD66" s="10" t="n">
        <f aca="false">AVERAGE(K66:M66)</f>
        <v>5</v>
      </c>
      <c r="AE66" s="10" t="n">
        <f aca="false">AVERAGE(P66,S66,V66)</f>
        <v>5</v>
      </c>
      <c r="AF66" s="10" t="n">
        <f aca="false">AVERAGE(Q66,R66)</f>
        <v>5</v>
      </c>
      <c r="AG66" s="10" t="n">
        <f aca="false">AVERAGE(T66,U66)</f>
        <v>5</v>
      </c>
      <c r="AH66" s="10" t="n">
        <f aca="false">AVERAGE(W66:Y66)</f>
        <v>4.33333333333333</v>
      </c>
      <c r="AI66" s="7" t="s">
        <v>95</v>
      </c>
      <c r="AJ66" s="7" t="s">
        <v>59</v>
      </c>
    </row>
    <row r="67" customFormat="false" ht="15" hidden="false" customHeight="true" outlineLevel="0" collapsed="false">
      <c r="A67" s="7" t="n">
        <v>30</v>
      </c>
      <c r="B67" s="8" t="n">
        <v>46294</v>
      </c>
      <c r="C67" s="7" t="s">
        <v>75</v>
      </c>
      <c r="D67" s="7" t="s">
        <v>61</v>
      </c>
      <c r="E67" s="7" t="s">
        <v>83</v>
      </c>
      <c r="F67" s="7" t="s">
        <v>84</v>
      </c>
      <c r="G67" s="7" t="s">
        <v>63</v>
      </c>
      <c r="H67" s="7" t="n">
        <v>5</v>
      </c>
      <c r="I67" s="7" t="n">
        <v>5</v>
      </c>
      <c r="J67" s="7" t="n">
        <v>5</v>
      </c>
      <c r="K67" s="7" t="n">
        <v>5</v>
      </c>
      <c r="L67" s="7" t="n">
        <v>5</v>
      </c>
      <c r="M67" s="7" t="n">
        <v>5</v>
      </c>
      <c r="N67" s="7" t="s">
        <v>64</v>
      </c>
      <c r="O67" s="7" t="n">
        <f aca="false">IF(N67="Never",1,IF(N67="Rarely",2,IF(N67="Monthly",3,IF(N67="Weekly",4,5))))</f>
        <v>5</v>
      </c>
      <c r="P67" s="7" t="n">
        <v>5</v>
      </c>
      <c r="Q67" s="7" t="n">
        <v>5</v>
      </c>
      <c r="R67" s="7" t="n">
        <v>5</v>
      </c>
      <c r="S67" s="7" t="n">
        <v>5</v>
      </c>
      <c r="T67" s="7" t="n">
        <v>5</v>
      </c>
      <c r="U67" s="7" t="n">
        <v>5</v>
      </c>
      <c r="V67" s="7" t="n">
        <v>5</v>
      </c>
      <c r="W67" s="7" t="n">
        <v>3</v>
      </c>
      <c r="X67" s="7" t="n">
        <v>5</v>
      </c>
      <c r="Y67" s="7" t="n">
        <v>5</v>
      </c>
      <c r="Z67" s="9" t="n">
        <f aca="false">6-W67</f>
        <v>3</v>
      </c>
      <c r="AA67" s="9" t="n">
        <f aca="false">6-X67</f>
        <v>1</v>
      </c>
      <c r="AB67" s="9" t="n">
        <f aca="false">6-Y67</f>
        <v>1</v>
      </c>
      <c r="AC67" s="10" t="n">
        <f aca="false">AVERAGE(H67:J67)</f>
        <v>5</v>
      </c>
      <c r="AD67" s="10" t="n">
        <f aca="false">AVERAGE(K67:M67)</f>
        <v>5</v>
      </c>
      <c r="AE67" s="10" t="n">
        <f aca="false">AVERAGE(P67,S67,V67)</f>
        <v>5</v>
      </c>
      <c r="AF67" s="10" t="n">
        <f aca="false">AVERAGE(Q67,R67)</f>
        <v>5</v>
      </c>
      <c r="AG67" s="10" t="n">
        <f aca="false">AVERAGE(T67,U67)</f>
        <v>5</v>
      </c>
      <c r="AH67" s="10" t="n">
        <f aca="false">AVERAGE(W67:Y67)</f>
        <v>4.33333333333333</v>
      </c>
      <c r="AI67" s="7" t="s">
        <v>95</v>
      </c>
      <c r="AJ67" s="7" t="s">
        <v>59</v>
      </c>
    </row>
    <row r="68" customFormat="false" ht="15" hidden="false" customHeight="true" outlineLevel="0" collapsed="false">
      <c r="A68" s="7" t="n">
        <v>34</v>
      </c>
      <c r="B68" s="8" t="n">
        <v>46294</v>
      </c>
      <c r="C68" s="7" t="s">
        <v>60</v>
      </c>
      <c r="D68" s="7" t="s">
        <v>61</v>
      </c>
      <c r="E68" s="7" t="s">
        <v>83</v>
      </c>
      <c r="F68" s="7" t="s">
        <v>96</v>
      </c>
      <c r="G68" s="7" t="s">
        <v>63</v>
      </c>
      <c r="H68" s="7" t="n">
        <v>5</v>
      </c>
      <c r="I68" s="7" t="n">
        <v>5</v>
      </c>
      <c r="J68" s="7" t="n">
        <v>5</v>
      </c>
      <c r="K68" s="7" t="n">
        <v>5</v>
      </c>
      <c r="L68" s="7" t="n">
        <v>5</v>
      </c>
      <c r="M68" s="7" t="n">
        <v>5</v>
      </c>
      <c r="N68" s="7" t="s">
        <v>64</v>
      </c>
      <c r="O68" s="7" t="n">
        <f aca="false">IF(N68="Never",1,IF(N68="Rarely",2,IF(N68="Monthly",3,IF(N68="Weekly",4,5))))</f>
        <v>5</v>
      </c>
      <c r="P68" s="7" t="n">
        <v>4</v>
      </c>
      <c r="Q68" s="7" t="n">
        <v>4</v>
      </c>
      <c r="R68" s="7" t="n">
        <v>5</v>
      </c>
      <c r="S68" s="7" t="n">
        <v>5</v>
      </c>
      <c r="T68" s="7" t="n">
        <v>5</v>
      </c>
      <c r="U68" s="7" t="n">
        <v>5</v>
      </c>
      <c r="V68" s="7" t="n">
        <v>5</v>
      </c>
      <c r="W68" s="7" t="n">
        <v>5</v>
      </c>
      <c r="X68" s="7" t="n">
        <v>5</v>
      </c>
      <c r="Y68" s="7" t="n">
        <v>5</v>
      </c>
      <c r="Z68" s="9" t="n">
        <f aca="false">6-W68</f>
        <v>1</v>
      </c>
      <c r="AA68" s="9" t="n">
        <f aca="false">6-X68</f>
        <v>1</v>
      </c>
      <c r="AB68" s="9" t="n">
        <f aca="false">6-Y68</f>
        <v>1</v>
      </c>
      <c r="AC68" s="10" t="n">
        <f aca="false">AVERAGE(H68:J68)</f>
        <v>5</v>
      </c>
      <c r="AD68" s="10" t="n">
        <f aca="false">AVERAGE(K68:M68)</f>
        <v>5</v>
      </c>
      <c r="AE68" s="10" t="n">
        <f aca="false">AVERAGE(P68,S68,V68)</f>
        <v>4.66666666666667</v>
      </c>
      <c r="AF68" s="10" t="n">
        <f aca="false">AVERAGE(Q68,R68)</f>
        <v>4.5</v>
      </c>
      <c r="AG68" s="10" t="n">
        <f aca="false">AVERAGE(T68,U68)</f>
        <v>5</v>
      </c>
      <c r="AH68" s="10" t="n">
        <f aca="false">AVERAGE(W68:Y68)</f>
        <v>5</v>
      </c>
      <c r="AI68" s="7" t="s">
        <v>95</v>
      </c>
      <c r="AJ68" s="7" t="s">
        <v>59</v>
      </c>
    </row>
    <row r="69" customFormat="false" ht="15" hidden="false" customHeight="true" outlineLevel="0" collapsed="false">
      <c r="A69" s="7" t="n">
        <v>35</v>
      </c>
      <c r="B69" s="8" t="n">
        <v>46294</v>
      </c>
      <c r="C69" s="7" t="s">
        <v>53</v>
      </c>
      <c r="D69" s="7" t="s">
        <v>61</v>
      </c>
      <c r="E69" s="7" t="s">
        <v>83</v>
      </c>
      <c r="F69" s="7" t="s">
        <v>94</v>
      </c>
      <c r="G69" s="7" t="s">
        <v>63</v>
      </c>
      <c r="H69" s="7" t="n">
        <v>5</v>
      </c>
      <c r="I69" s="7" t="n">
        <v>5</v>
      </c>
      <c r="J69" s="7" t="n">
        <v>5</v>
      </c>
      <c r="K69" s="7" t="n">
        <v>5</v>
      </c>
      <c r="L69" s="7" t="n">
        <v>4</v>
      </c>
      <c r="M69" s="7" t="n">
        <v>5</v>
      </c>
      <c r="N69" s="7" t="s">
        <v>64</v>
      </c>
      <c r="O69" s="7" t="n">
        <f aca="false">IF(N69="Never",1,IF(N69="Rarely",2,IF(N69="Monthly",3,IF(N69="Weekly",4,5))))</f>
        <v>5</v>
      </c>
      <c r="P69" s="7" t="n">
        <v>5</v>
      </c>
      <c r="Q69" s="7" t="n">
        <v>5</v>
      </c>
      <c r="R69" s="7" t="n">
        <v>5</v>
      </c>
      <c r="S69" s="7" t="n">
        <v>5</v>
      </c>
      <c r="T69" s="7" t="n">
        <v>5</v>
      </c>
      <c r="U69" s="7" t="n">
        <v>5</v>
      </c>
      <c r="V69" s="7" t="n">
        <v>5</v>
      </c>
      <c r="W69" s="7" t="n">
        <v>5</v>
      </c>
      <c r="X69" s="7" t="n">
        <v>5</v>
      </c>
      <c r="Y69" s="7" t="n">
        <v>5</v>
      </c>
      <c r="Z69" s="9" t="n">
        <f aca="false">6-W69</f>
        <v>1</v>
      </c>
      <c r="AA69" s="9" t="n">
        <f aca="false">6-X69</f>
        <v>1</v>
      </c>
      <c r="AB69" s="9" t="n">
        <f aca="false">6-Y69</f>
        <v>1</v>
      </c>
      <c r="AC69" s="10" t="n">
        <f aca="false">AVERAGE(H69:J69)</f>
        <v>5</v>
      </c>
      <c r="AD69" s="10" t="n">
        <f aca="false">AVERAGE(K69:M69)</f>
        <v>4.66666666666667</v>
      </c>
      <c r="AE69" s="10" t="n">
        <f aca="false">AVERAGE(P69,S69,V69)</f>
        <v>5</v>
      </c>
      <c r="AF69" s="10" t="n">
        <f aca="false">AVERAGE(Q69,R69)</f>
        <v>5</v>
      </c>
      <c r="AG69" s="10" t="n">
        <f aca="false">AVERAGE(T69,U69)</f>
        <v>5</v>
      </c>
      <c r="AH69" s="10" t="n">
        <f aca="false">AVERAGE(W69:Y69)</f>
        <v>5</v>
      </c>
      <c r="AI69" s="7" t="s">
        <v>95</v>
      </c>
      <c r="AJ69" s="7" t="s">
        <v>59</v>
      </c>
    </row>
    <row r="70" customFormat="false" ht="15" hidden="false" customHeight="true" outlineLevel="0" collapsed="false">
      <c r="A70" s="7" t="n">
        <v>40</v>
      </c>
      <c r="B70" s="8" t="n">
        <v>46294</v>
      </c>
      <c r="C70" s="7" t="s">
        <v>75</v>
      </c>
      <c r="D70" s="7" t="s">
        <v>54</v>
      </c>
      <c r="E70" s="7" t="s">
        <v>83</v>
      </c>
      <c r="F70" s="7" t="s">
        <v>65</v>
      </c>
      <c r="G70" s="7" t="s">
        <v>57</v>
      </c>
      <c r="H70" s="7" t="n">
        <v>5</v>
      </c>
      <c r="I70" s="7" t="n">
        <v>5</v>
      </c>
      <c r="J70" s="7" t="n">
        <v>5</v>
      </c>
      <c r="K70" s="7" t="n">
        <v>5</v>
      </c>
      <c r="L70" s="7" t="n">
        <v>5</v>
      </c>
      <c r="M70" s="7" t="n">
        <v>5</v>
      </c>
      <c r="N70" s="7" t="s">
        <v>64</v>
      </c>
      <c r="O70" s="7" t="n">
        <f aca="false">IF(N70="Never",1,IF(N70="Rarely",2,IF(N70="Monthly",3,IF(N70="Weekly",4,5))))</f>
        <v>5</v>
      </c>
      <c r="P70" s="7" t="n">
        <v>5</v>
      </c>
      <c r="Q70" s="7" t="n">
        <v>5</v>
      </c>
      <c r="R70" s="7" t="n">
        <v>5</v>
      </c>
      <c r="S70" s="7" t="n">
        <v>5</v>
      </c>
      <c r="T70" s="7" t="n">
        <v>5</v>
      </c>
      <c r="U70" s="7" t="n">
        <v>5</v>
      </c>
      <c r="V70" s="7" t="n">
        <v>5</v>
      </c>
      <c r="W70" s="7" t="n">
        <v>1</v>
      </c>
      <c r="X70" s="7" t="n">
        <v>1</v>
      </c>
      <c r="Y70" s="7" t="n">
        <v>1</v>
      </c>
      <c r="Z70" s="9" t="n">
        <f aca="false">6-W70</f>
        <v>5</v>
      </c>
      <c r="AA70" s="9" t="n">
        <f aca="false">6-X70</f>
        <v>5</v>
      </c>
      <c r="AB70" s="9" t="n">
        <f aca="false">6-Y70</f>
        <v>5</v>
      </c>
      <c r="AC70" s="10" t="n">
        <f aca="false">AVERAGE(H70:J70)</f>
        <v>5</v>
      </c>
      <c r="AD70" s="10" t="n">
        <f aca="false">AVERAGE(K70:M70)</f>
        <v>5</v>
      </c>
      <c r="AE70" s="10" t="n">
        <f aca="false">AVERAGE(P70,S70,V70)</f>
        <v>5</v>
      </c>
      <c r="AF70" s="10" t="n">
        <f aca="false">AVERAGE(Q70,R70)</f>
        <v>5</v>
      </c>
      <c r="AG70" s="10" t="n">
        <f aca="false">AVERAGE(T70,U70)</f>
        <v>5</v>
      </c>
      <c r="AH70" s="10" t="n">
        <f aca="false">AVERAGE(W70:Y70)</f>
        <v>1</v>
      </c>
      <c r="AI70" s="7" t="s">
        <v>59</v>
      </c>
      <c r="AJ70" s="7" t="s">
        <v>59</v>
      </c>
    </row>
    <row r="71" customFormat="false" ht="15" hidden="false" customHeight="true" outlineLevel="0" collapsed="false">
      <c r="A71" s="7" t="n">
        <v>41</v>
      </c>
      <c r="B71" s="8" t="n">
        <v>46294</v>
      </c>
      <c r="C71" s="7" t="s">
        <v>75</v>
      </c>
      <c r="D71" s="7" t="s">
        <v>61</v>
      </c>
      <c r="E71" s="7" t="s">
        <v>83</v>
      </c>
      <c r="F71" s="7" t="s">
        <v>76</v>
      </c>
      <c r="G71" s="7" t="s">
        <v>57</v>
      </c>
      <c r="H71" s="7" t="n">
        <v>4</v>
      </c>
      <c r="I71" s="7" t="n">
        <v>4</v>
      </c>
      <c r="J71" s="7" t="n">
        <v>4</v>
      </c>
      <c r="K71" s="7" t="n">
        <v>4</v>
      </c>
      <c r="L71" s="7" t="n">
        <v>4</v>
      </c>
      <c r="M71" s="7" t="n">
        <v>4</v>
      </c>
      <c r="N71" s="7" t="s">
        <v>66</v>
      </c>
      <c r="O71" s="7" t="n">
        <f aca="false">IF(N71="Never",1,IF(N71="Rarely",2,IF(N71="Monthly",3,IF(N71="Weekly",4,5))))</f>
        <v>4</v>
      </c>
      <c r="P71" s="7" t="n">
        <v>4</v>
      </c>
      <c r="Q71" s="7" t="n">
        <v>4</v>
      </c>
      <c r="R71" s="7" t="n">
        <v>4</v>
      </c>
      <c r="S71" s="7" t="n">
        <v>4</v>
      </c>
      <c r="T71" s="7" t="n">
        <v>4</v>
      </c>
      <c r="U71" s="7" t="n">
        <v>4</v>
      </c>
      <c r="V71" s="7" t="n">
        <v>4</v>
      </c>
      <c r="W71" s="7" t="n">
        <v>2</v>
      </c>
      <c r="X71" s="7" t="n">
        <v>2</v>
      </c>
      <c r="Y71" s="7" t="n">
        <v>2</v>
      </c>
      <c r="Z71" s="9" t="n">
        <f aca="false">6-W71</f>
        <v>4</v>
      </c>
      <c r="AA71" s="9" t="n">
        <f aca="false">6-X71</f>
        <v>4</v>
      </c>
      <c r="AB71" s="9" t="n">
        <f aca="false">6-Y71</f>
        <v>4</v>
      </c>
      <c r="AC71" s="10" t="n">
        <f aca="false">AVERAGE(H71:J71)</f>
        <v>4</v>
      </c>
      <c r="AD71" s="10" t="n">
        <f aca="false">AVERAGE(K71:M71)</f>
        <v>4</v>
      </c>
      <c r="AE71" s="10" t="n">
        <f aca="false">AVERAGE(P71,S71,V71)</f>
        <v>4</v>
      </c>
      <c r="AF71" s="10" t="n">
        <f aca="false">AVERAGE(Q71,R71)</f>
        <v>4</v>
      </c>
      <c r="AG71" s="10" t="n">
        <f aca="false">AVERAGE(T71,U71)</f>
        <v>4</v>
      </c>
      <c r="AH71" s="10" t="n">
        <f aca="false">AVERAGE(W71:Y71)</f>
        <v>2</v>
      </c>
      <c r="AI71" s="7" t="s">
        <v>59</v>
      </c>
      <c r="AJ71" s="7" t="s">
        <v>59</v>
      </c>
    </row>
    <row r="72" customFormat="false" ht="15" hidden="false" customHeight="true" outlineLevel="0" collapsed="false">
      <c r="A72" s="7" t="n">
        <v>42</v>
      </c>
      <c r="B72" s="8" t="n">
        <v>46294</v>
      </c>
      <c r="C72" s="7" t="s">
        <v>75</v>
      </c>
      <c r="D72" s="7" t="s">
        <v>54</v>
      </c>
      <c r="E72" s="7" t="s">
        <v>83</v>
      </c>
      <c r="F72" s="7" t="s">
        <v>97</v>
      </c>
      <c r="G72" s="7" t="s">
        <v>63</v>
      </c>
      <c r="H72" s="7" t="n">
        <v>5</v>
      </c>
      <c r="I72" s="7" t="n">
        <v>5</v>
      </c>
      <c r="J72" s="7" t="n">
        <v>5</v>
      </c>
      <c r="K72" s="7" t="n">
        <v>5</v>
      </c>
      <c r="L72" s="7" t="n">
        <v>5</v>
      </c>
      <c r="M72" s="7" t="n">
        <v>5</v>
      </c>
      <c r="N72" s="7" t="s">
        <v>64</v>
      </c>
      <c r="O72" s="7" t="n">
        <f aca="false">IF(N72="Never",1,IF(N72="Rarely",2,IF(N72="Monthly",3,IF(N72="Weekly",4,5))))</f>
        <v>5</v>
      </c>
      <c r="P72" s="7" t="n">
        <v>5</v>
      </c>
      <c r="Q72" s="7" t="n">
        <v>5</v>
      </c>
      <c r="R72" s="7" t="n">
        <v>5</v>
      </c>
      <c r="S72" s="7" t="n">
        <v>5</v>
      </c>
      <c r="T72" s="7" t="n">
        <v>5</v>
      </c>
      <c r="U72" s="7" t="n">
        <v>5</v>
      </c>
      <c r="V72" s="7" t="n">
        <v>5</v>
      </c>
      <c r="W72" s="7" t="n">
        <v>1</v>
      </c>
      <c r="X72" s="7" t="n">
        <v>1</v>
      </c>
      <c r="Y72" s="7" t="n">
        <v>1</v>
      </c>
      <c r="Z72" s="9" t="n">
        <f aca="false">6-W72</f>
        <v>5</v>
      </c>
      <c r="AA72" s="9" t="n">
        <f aca="false">6-X72</f>
        <v>5</v>
      </c>
      <c r="AB72" s="9" t="n">
        <f aca="false">6-Y72</f>
        <v>5</v>
      </c>
      <c r="AC72" s="10" t="n">
        <f aca="false">AVERAGE(H72:J72)</f>
        <v>5</v>
      </c>
      <c r="AD72" s="10" t="n">
        <f aca="false">AVERAGE(K72:M72)</f>
        <v>5</v>
      </c>
      <c r="AE72" s="10" t="n">
        <f aca="false">AVERAGE(P72,S72,V72)</f>
        <v>5</v>
      </c>
      <c r="AF72" s="10" t="n">
        <f aca="false">AVERAGE(Q72,R72)</f>
        <v>5</v>
      </c>
      <c r="AG72" s="10" t="n">
        <f aca="false">AVERAGE(T72,U72)</f>
        <v>5</v>
      </c>
      <c r="AH72" s="10" t="n">
        <f aca="false">AVERAGE(W72:Y72)</f>
        <v>1</v>
      </c>
      <c r="AI72" s="7" t="s">
        <v>59</v>
      </c>
      <c r="AJ72" s="7" t="s">
        <v>59</v>
      </c>
    </row>
    <row r="73" customFormat="false" ht="15" hidden="false" customHeight="true" outlineLevel="0" collapsed="false">
      <c r="A73" s="7" t="n">
        <v>43</v>
      </c>
      <c r="B73" s="8" t="n">
        <v>46294</v>
      </c>
      <c r="C73" s="7" t="s">
        <v>75</v>
      </c>
      <c r="D73" s="7" t="s">
        <v>61</v>
      </c>
      <c r="E73" s="7" t="s">
        <v>83</v>
      </c>
      <c r="F73" s="7" t="s">
        <v>65</v>
      </c>
      <c r="G73" s="7" t="s">
        <v>57</v>
      </c>
      <c r="H73" s="7" t="n">
        <v>3</v>
      </c>
      <c r="I73" s="7" t="n">
        <v>3</v>
      </c>
      <c r="J73" s="7" t="n">
        <v>3</v>
      </c>
      <c r="K73" s="7" t="n">
        <v>3</v>
      </c>
      <c r="L73" s="7" t="n">
        <v>3</v>
      </c>
      <c r="M73" s="7" t="n">
        <v>3</v>
      </c>
      <c r="N73" s="7" t="s">
        <v>74</v>
      </c>
      <c r="O73" s="7" t="n">
        <f aca="false">IF(N73="Never",1,IF(N73="Rarely",2,IF(N73="Monthly",3,IF(N73="Weekly",4,5))))</f>
        <v>3</v>
      </c>
      <c r="P73" s="7" t="n">
        <v>3</v>
      </c>
      <c r="Q73" s="7" t="n">
        <v>3</v>
      </c>
      <c r="R73" s="7" t="n">
        <v>3</v>
      </c>
      <c r="S73" s="7" t="n">
        <v>3</v>
      </c>
      <c r="T73" s="7" t="n">
        <v>3</v>
      </c>
      <c r="U73" s="7" t="n">
        <v>3</v>
      </c>
      <c r="V73" s="7" t="n">
        <v>3</v>
      </c>
      <c r="W73" s="7" t="n">
        <v>1</v>
      </c>
      <c r="X73" s="7" t="n">
        <v>1</v>
      </c>
      <c r="Y73" s="7" t="n">
        <v>1</v>
      </c>
      <c r="Z73" s="9" t="n">
        <f aca="false">6-W73</f>
        <v>5</v>
      </c>
      <c r="AA73" s="9" t="n">
        <f aca="false">6-X73</f>
        <v>5</v>
      </c>
      <c r="AB73" s="9" t="n">
        <f aca="false">6-Y73</f>
        <v>5</v>
      </c>
      <c r="AC73" s="10" t="n">
        <f aca="false">AVERAGE(H73:J73)</f>
        <v>3</v>
      </c>
      <c r="AD73" s="10" t="n">
        <f aca="false">AVERAGE(K73:M73)</f>
        <v>3</v>
      </c>
      <c r="AE73" s="10" t="n">
        <f aca="false">AVERAGE(P73,S73,V73)</f>
        <v>3</v>
      </c>
      <c r="AF73" s="10" t="n">
        <f aca="false">AVERAGE(Q73,R73)</f>
        <v>3</v>
      </c>
      <c r="AG73" s="10" t="n">
        <f aca="false">AVERAGE(T73,U73)</f>
        <v>3</v>
      </c>
      <c r="AH73" s="10" t="n">
        <f aca="false">AVERAGE(W73:Y73)</f>
        <v>1</v>
      </c>
      <c r="AI73" s="7" t="s">
        <v>59</v>
      </c>
      <c r="AJ73" s="7" t="s">
        <v>59</v>
      </c>
    </row>
    <row r="74" customFormat="false" ht="15" hidden="false" customHeight="true" outlineLevel="0" collapsed="false">
      <c r="A74" s="7" t="n">
        <v>44</v>
      </c>
      <c r="B74" s="8" t="n">
        <v>46294</v>
      </c>
      <c r="C74" s="7" t="s">
        <v>75</v>
      </c>
      <c r="D74" s="7" t="s">
        <v>54</v>
      </c>
      <c r="E74" s="7" t="s">
        <v>83</v>
      </c>
      <c r="F74" s="7" t="s">
        <v>73</v>
      </c>
      <c r="G74" s="7" t="s">
        <v>57</v>
      </c>
      <c r="H74" s="7" t="n">
        <v>3</v>
      </c>
      <c r="I74" s="7" t="n">
        <v>3</v>
      </c>
      <c r="J74" s="7" t="n">
        <v>3</v>
      </c>
      <c r="K74" s="7" t="n">
        <v>3</v>
      </c>
      <c r="L74" s="7" t="n">
        <v>3</v>
      </c>
      <c r="M74" s="7" t="n">
        <v>3</v>
      </c>
      <c r="N74" s="7" t="s">
        <v>66</v>
      </c>
      <c r="O74" s="7" t="n">
        <f aca="false">IF(N74="Never",1,IF(N74="Rarely",2,IF(N74="Monthly",3,IF(N74="Weekly",4,5))))</f>
        <v>4</v>
      </c>
      <c r="P74" s="7" t="n">
        <v>3</v>
      </c>
      <c r="Q74" s="7" t="n">
        <v>3</v>
      </c>
      <c r="R74" s="7" t="n">
        <v>3</v>
      </c>
      <c r="S74" s="7" t="n">
        <v>3</v>
      </c>
      <c r="T74" s="7" t="n">
        <v>3</v>
      </c>
      <c r="U74" s="7" t="n">
        <v>3</v>
      </c>
      <c r="V74" s="7" t="n">
        <v>3</v>
      </c>
      <c r="W74" s="7" t="n">
        <v>2</v>
      </c>
      <c r="X74" s="7" t="n">
        <v>2</v>
      </c>
      <c r="Y74" s="7" t="n">
        <v>2</v>
      </c>
      <c r="Z74" s="9" t="n">
        <f aca="false">6-W74</f>
        <v>4</v>
      </c>
      <c r="AA74" s="9" t="n">
        <f aca="false">6-X74</f>
        <v>4</v>
      </c>
      <c r="AB74" s="9" t="n">
        <f aca="false">6-Y74</f>
        <v>4</v>
      </c>
      <c r="AC74" s="10" t="n">
        <f aca="false">AVERAGE(H74:J74)</f>
        <v>3</v>
      </c>
      <c r="AD74" s="10" t="n">
        <f aca="false">AVERAGE(K74:M74)</f>
        <v>3</v>
      </c>
      <c r="AE74" s="10" t="n">
        <f aca="false">AVERAGE(P74,S74,V74)</f>
        <v>3</v>
      </c>
      <c r="AF74" s="10" t="n">
        <f aca="false">AVERAGE(Q74,R74)</f>
        <v>3</v>
      </c>
      <c r="AG74" s="10" t="n">
        <f aca="false">AVERAGE(T74,U74)</f>
        <v>3</v>
      </c>
      <c r="AH74" s="10" t="n">
        <f aca="false">AVERAGE(W74:Y74)</f>
        <v>2</v>
      </c>
      <c r="AI74" s="7" t="s">
        <v>59</v>
      </c>
      <c r="AJ74" s="7" t="s">
        <v>59</v>
      </c>
    </row>
    <row r="75" customFormat="false" ht="15" hidden="false" customHeight="true" outlineLevel="0" collapsed="false">
      <c r="A75" s="7" t="n">
        <v>45</v>
      </c>
      <c r="B75" s="8" t="n">
        <v>46294</v>
      </c>
      <c r="C75" s="7" t="s">
        <v>75</v>
      </c>
      <c r="D75" s="7" t="s">
        <v>54</v>
      </c>
      <c r="E75" s="7" t="s">
        <v>83</v>
      </c>
      <c r="F75" s="7" t="s">
        <v>65</v>
      </c>
      <c r="G75" s="7" t="s">
        <v>57</v>
      </c>
      <c r="H75" s="7" t="n">
        <v>3</v>
      </c>
      <c r="I75" s="7" t="n">
        <v>4</v>
      </c>
      <c r="J75" s="7" t="n">
        <v>3</v>
      </c>
      <c r="K75" s="7" t="n">
        <v>4</v>
      </c>
      <c r="L75" s="7" t="n">
        <v>3</v>
      </c>
      <c r="M75" s="7" t="n">
        <v>4</v>
      </c>
      <c r="N75" s="7" t="s">
        <v>66</v>
      </c>
      <c r="O75" s="7" t="n">
        <f aca="false">IF(N75="Never",1,IF(N75="Rarely",2,IF(N75="Monthly",3,IF(N75="Weekly",4,5))))</f>
        <v>4</v>
      </c>
      <c r="P75" s="7" t="n">
        <v>4</v>
      </c>
      <c r="Q75" s="7" t="n">
        <v>3</v>
      </c>
      <c r="R75" s="7" t="n">
        <v>4</v>
      </c>
      <c r="S75" s="7" t="n">
        <v>3</v>
      </c>
      <c r="T75" s="7" t="n">
        <v>4</v>
      </c>
      <c r="U75" s="7" t="n">
        <v>3</v>
      </c>
      <c r="V75" s="7" t="n">
        <v>4</v>
      </c>
      <c r="W75" s="7" t="n">
        <v>2</v>
      </c>
      <c r="X75" s="7" t="n">
        <v>1</v>
      </c>
      <c r="Y75" s="7" t="n">
        <v>2</v>
      </c>
      <c r="Z75" s="9" t="n">
        <f aca="false">6-W75</f>
        <v>4</v>
      </c>
      <c r="AA75" s="9" t="n">
        <f aca="false">6-X75</f>
        <v>5</v>
      </c>
      <c r="AB75" s="9" t="n">
        <f aca="false">6-Y75</f>
        <v>4</v>
      </c>
      <c r="AC75" s="10" t="n">
        <f aca="false">AVERAGE(H75:J75)</f>
        <v>3.33333333333333</v>
      </c>
      <c r="AD75" s="10" t="n">
        <f aca="false">AVERAGE(K75:M75)</f>
        <v>3.66666666666667</v>
      </c>
      <c r="AE75" s="10" t="n">
        <f aca="false">AVERAGE(P75,S75,V75)</f>
        <v>3.66666666666667</v>
      </c>
      <c r="AF75" s="10" t="n">
        <f aca="false">AVERAGE(Q75,R75)</f>
        <v>3.5</v>
      </c>
      <c r="AG75" s="10" t="n">
        <f aca="false">AVERAGE(T75,U75)</f>
        <v>3.5</v>
      </c>
      <c r="AH75" s="10" t="n">
        <f aca="false">AVERAGE(W75:Y75)</f>
        <v>1.66666666666667</v>
      </c>
      <c r="AI75" s="7" t="s">
        <v>59</v>
      </c>
      <c r="AJ75" s="7" t="s">
        <v>59</v>
      </c>
    </row>
    <row r="76" customFormat="false" ht="15" hidden="false" customHeight="true" outlineLevel="0" collapsed="false">
      <c r="A76" s="7" t="n">
        <v>46</v>
      </c>
      <c r="B76" s="8" t="n">
        <v>46294</v>
      </c>
      <c r="C76" s="7" t="s">
        <v>75</v>
      </c>
      <c r="D76" s="7" t="s">
        <v>61</v>
      </c>
      <c r="E76" s="7" t="s">
        <v>83</v>
      </c>
      <c r="F76" s="7" t="s">
        <v>73</v>
      </c>
      <c r="G76" s="7" t="s">
        <v>57</v>
      </c>
      <c r="H76" s="7" t="n">
        <v>5</v>
      </c>
      <c r="I76" s="7" t="n">
        <v>5</v>
      </c>
      <c r="J76" s="7" t="n">
        <v>5</v>
      </c>
      <c r="K76" s="7" t="n">
        <v>5</v>
      </c>
      <c r="L76" s="7" t="n">
        <v>5</v>
      </c>
      <c r="M76" s="7" t="n">
        <v>5</v>
      </c>
      <c r="N76" s="7" t="s">
        <v>64</v>
      </c>
      <c r="O76" s="7" t="n">
        <f aca="false">IF(N76="Never",1,IF(N76="Rarely",2,IF(N76="Monthly",3,IF(N76="Weekly",4,5))))</f>
        <v>5</v>
      </c>
      <c r="P76" s="7" t="n">
        <v>5</v>
      </c>
      <c r="Q76" s="7" t="n">
        <v>5</v>
      </c>
      <c r="R76" s="7" t="n">
        <v>5</v>
      </c>
      <c r="S76" s="7" t="n">
        <v>5</v>
      </c>
      <c r="T76" s="7" t="n">
        <v>5</v>
      </c>
      <c r="U76" s="7" t="n">
        <v>5</v>
      </c>
      <c r="V76" s="7" t="n">
        <v>5</v>
      </c>
      <c r="W76" s="7" t="n">
        <v>1</v>
      </c>
      <c r="X76" s="7" t="n">
        <v>1</v>
      </c>
      <c r="Y76" s="7" t="n">
        <v>1</v>
      </c>
      <c r="Z76" s="9" t="n">
        <f aca="false">6-W76</f>
        <v>5</v>
      </c>
      <c r="AA76" s="9" t="n">
        <f aca="false">6-X76</f>
        <v>5</v>
      </c>
      <c r="AB76" s="9" t="n">
        <f aca="false">6-Y76</f>
        <v>5</v>
      </c>
      <c r="AC76" s="10" t="n">
        <f aca="false">AVERAGE(H76:J76)</f>
        <v>5</v>
      </c>
      <c r="AD76" s="10" t="n">
        <f aca="false">AVERAGE(K76:M76)</f>
        <v>5</v>
      </c>
      <c r="AE76" s="10" t="n">
        <f aca="false">AVERAGE(P76,S76,V76)</f>
        <v>5</v>
      </c>
      <c r="AF76" s="10" t="n">
        <f aca="false">AVERAGE(Q76,R76)</f>
        <v>5</v>
      </c>
      <c r="AG76" s="10" t="n">
        <f aca="false">AVERAGE(T76,U76)</f>
        <v>5</v>
      </c>
      <c r="AH76" s="10" t="n">
        <f aca="false">AVERAGE(W76:Y76)</f>
        <v>1</v>
      </c>
      <c r="AI76" s="7" t="s">
        <v>59</v>
      </c>
      <c r="AJ76" s="7" t="s">
        <v>59</v>
      </c>
    </row>
    <row r="77" customFormat="false" ht="15" hidden="false" customHeight="true" outlineLevel="0" collapsed="false">
      <c r="A77" s="7" t="n">
        <v>47</v>
      </c>
      <c r="B77" s="8" t="n">
        <v>46294</v>
      </c>
      <c r="C77" s="7" t="s">
        <v>75</v>
      </c>
      <c r="D77" s="7" t="s">
        <v>54</v>
      </c>
      <c r="E77" s="7" t="s">
        <v>83</v>
      </c>
      <c r="F77" s="7" t="s">
        <v>65</v>
      </c>
      <c r="G77" s="7" t="s">
        <v>57</v>
      </c>
      <c r="H77" s="7" t="n">
        <v>5</v>
      </c>
      <c r="I77" s="7" t="n">
        <v>4</v>
      </c>
      <c r="J77" s="7" t="n">
        <v>5</v>
      </c>
      <c r="K77" s="7" t="n">
        <v>4</v>
      </c>
      <c r="L77" s="7" t="n">
        <v>5</v>
      </c>
      <c r="M77" s="7" t="n">
        <v>4</v>
      </c>
      <c r="N77" s="7" t="s">
        <v>64</v>
      </c>
      <c r="O77" s="7" t="n">
        <f aca="false">IF(N77="Never",1,IF(N77="Rarely",2,IF(N77="Monthly",3,IF(N77="Weekly",4,5))))</f>
        <v>5</v>
      </c>
      <c r="P77" s="7" t="n">
        <v>4</v>
      </c>
      <c r="Q77" s="7" t="n">
        <v>5</v>
      </c>
      <c r="R77" s="7" t="n">
        <v>4</v>
      </c>
      <c r="S77" s="7" t="n">
        <v>5</v>
      </c>
      <c r="T77" s="7" t="n">
        <v>4</v>
      </c>
      <c r="U77" s="7" t="n">
        <v>5</v>
      </c>
      <c r="V77" s="7" t="n">
        <v>4</v>
      </c>
      <c r="W77" s="7" t="n">
        <v>2</v>
      </c>
      <c r="X77" s="7" t="n">
        <v>1</v>
      </c>
      <c r="Y77" s="7" t="n">
        <v>2</v>
      </c>
      <c r="Z77" s="9" t="n">
        <f aca="false">6-W77</f>
        <v>4</v>
      </c>
      <c r="AA77" s="9" t="n">
        <f aca="false">6-X77</f>
        <v>5</v>
      </c>
      <c r="AB77" s="9" t="n">
        <f aca="false">6-Y77</f>
        <v>4</v>
      </c>
      <c r="AC77" s="10" t="n">
        <f aca="false">AVERAGE(H77:J77)</f>
        <v>4.66666666666667</v>
      </c>
      <c r="AD77" s="10" t="n">
        <f aca="false">AVERAGE(K77:M77)</f>
        <v>4.33333333333333</v>
      </c>
      <c r="AE77" s="10" t="n">
        <f aca="false">AVERAGE(P77,S77,V77)</f>
        <v>4.33333333333333</v>
      </c>
      <c r="AF77" s="10" t="n">
        <f aca="false">AVERAGE(Q77,R77)</f>
        <v>4.5</v>
      </c>
      <c r="AG77" s="10" t="n">
        <f aca="false">AVERAGE(T77,U77)</f>
        <v>4.5</v>
      </c>
      <c r="AH77" s="10" t="n">
        <f aca="false">AVERAGE(W77:Y77)</f>
        <v>1.66666666666667</v>
      </c>
      <c r="AI77" s="7" t="s">
        <v>59</v>
      </c>
      <c r="AJ77" s="7" t="s">
        <v>59</v>
      </c>
    </row>
    <row r="78" customFormat="false" ht="15" hidden="false" customHeight="true" outlineLevel="0" collapsed="false">
      <c r="A78" s="7" t="n">
        <v>48</v>
      </c>
      <c r="B78" s="8" t="n">
        <v>46294</v>
      </c>
      <c r="C78" s="7" t="s">
        <v>75</v>
      </c>
      <c r="D78" s="7" t="s">
        <v>54</v>
      </c>
      <c r="E78" s="7" t="s">
        <v>83</v>
      </c>
      <c r="F78" s="7" t="s">
        <v>98</v>
      </c>
      <c r="G78" s="7" t="s">
        <v>63</v>
      </c>
      <c r="H78" s="7" t="n">
        <v>5</v>
      </c>
      <c r="I78" s="7" t="n">
        <v>5</v>
      </c>
      <c r="J78" s="7" t="n">
        <v>5</v>
      </c>
      <c r="K78" s="7" t="n">
        <v>5</v>
      </c>
      <c r="L78" s="7" t="n">
        <v>5</v>
      </c>
      <c r="M78" s="7" t="n">
        <v>5</v>
      </c>
      <c r="N78" s="7" t="s">
        <v>64</v>
      </c>
      <c r="O78" s="7" t="n">
        <f aca="false">IF(N78="Never",1,IF(N78="Rarely",2,IF(N78="Monthly",3,IF(N78="Weekly",4,5))))</f>
        <v>5</v>
      </c>
      <c r="P78" s="7" t="n">
        <v>5</v>
      </c>
      <c r="Q78" s="7" t="n">
        <v>5</v>
      </c>
      <c r="R78" s="7" t="n">
        <v>5</v>
      </c>
      <c r="S78" s="7" t="n">
        <v>5</v>
      </c>
      <c r="T78" s="7" t="n">
        <v>5</v>
      </c>
      <c r="U78" s="7" t="n">
        <v>5</v>
      </c>
      <c r="V78" s="7" t="n">
        <v>5</v>
      </c>
      <c r="W78" s="7" t="n">
        <v>1</v>
      </c>
      <c r="X78" s="7" t="n">
        <v>1</v>
      </c>
      <c r="Y78" s="7" t="n">
        <v>1</v>
      </c>
      <c r="Z78" s="9" t="n">
        <f aca="false">6-W78</f>
        <v>5</v>
      </c>
      <c r="AA78" s="9" t="n">
        <f aca="false">6-X78</f>
        <v>5</v>
      </c>
      <c r="AB78" s="9" t="n">
        <f aca="false">6-Y78</f>
        <v>5</v>
      </c>
      <c r="AC78" s="10" t="n">
        <f aca="false">AVERAGE(H78:J78)</f>
        <v>5</v>
      </c>
      <c r="AD78" s="10" t="n">
        <f aca="false">AVERAGE(K78:M78)</f>
        <v>5</v>
      </c>
      <c r="AE78" s="10" t="n">
        <f aca="false">AVERAGE(P78,S78,V78)</f>
        <v>5</v>
      </c>
      <c r="AF78" s="10" t="n">
        <f aca="false">AVERAGE(Q78,R78)</f>
        <v>5</v>
      </c>
      <c r="AG78" s="10" t="n">
        <f aca="false">AVERAGE(T78,U78)</f>
        <v>5</v>
      </c>
      <c r="AH78" s="10" t="n">
        <f aca="false">AVERAGE(W78:Y78)</f>
        <v>1</v>
      </c>
      <c r="AI78" s="7" t="s">
        <v>59</v>
      </c>
      <c r="AJ78" s="7" t="s">
        <v>59</v>
      </c>
    </row>
    <row r="79" customFormat="false" ht="15" hidden="false" customHeight="true" outlineLevel="0" collapsed="false">
      <c r="A79" s="7" t="n">
        <v>49</v>
      </c>
      <c r="B79" s="8" t="n">
        <v>46294</v>
      </c>
      <c r="C79" s="7" t="s">
        <v>75</v>
      </c>
      <c r="D79" s="7" t="s">
        <v>54</v>
      </c>
      <c r="E79" s="7" t="s">
        <v>83</v>
      </c>
      <c r="F79" s="7" t="s">
        <v>62</v>
      </c>
      <c r="G79" s="7" t="s">
        <v>63</v>
      </c>
      <c r="H79" s="7" t="n">
        <v>4</v>
      </c>
      <c r="I79" s="7" t="n">
        <v>4</v>
      </c>
      <c r="J79" s="7" t="n">
        <v>4</v>
      </c>
      <c r="K79" s="7" t="n">
        <v>4</v>
      </c>
      <c r="L79" s="7" t="n">
        <v>4</v>
      </c>
      <c r="M79" s="7" t="n">
        <v>4</v>
      </c>
      <c r="N79" s="7" t="s">
        <v>64</v>
      </c>
      <c r="O79" s="7" t="n">
        <f aca="false">IF(N79="Never",1,IF(N79="Rarely",2,IF(N79="Monthly",3,IF(N79="Weekly",4,5))))</f>
        <v>5</v>
      </c>
      <c r="P79" s="7" t="n">
        <v>5</v>
      </c>
      <c r="Q79" s="7" t="n">
        <v>5</v>
      </c>
      <c r="R79" s="7" t="n">
        <v>5</v>
      </c>
      <c r="S79" s="7" t="n">
        <v>5</v>
      </c>
      <c r="T79" s="7" t="n">
        <v>5</v>
      </c>
      <c r="U79" s="7" t="n">
        <v>5</v>
      </c>
      <c r="V79" s="7" t="n">
        <v>5</v>
      </c>
      <c r="W79" s="7" t="n">
        <v>2</v>
      </c>
      <c r="X79" s="7" t="n">
        <v>1</v>
      </c>
      <c r="Y79" s="7" t="n">
        <v>2</v>
      </c>
      <c r="Z79" s="9" t="n">
        <f aca="false">6-W79</f>
        <v>4</v>
      </c>
      <c r="AA79" s="9" t="n">
        <f aca="false">6-X79</f>
        <v>5</v>
      </c>
      <c r="AB79" s="9" t="n">
        <f aca="false">6-Y79</f>
        <v>4</v>
      </c>
      <c r="AC79" s="10" t="n">
        <f aca="false">AVERAGE(H79:J79)</f>
        <v>4</v>
      </c>
      <c r="AD79" s="10" t="n">
        <f aca="false">AVERAGE(K79:M79)</f>
        <v>4</v>
      </c>
      <c r="AE79" s="10" t="n">
        <f aca="false">AVERAGE(P79,S79,V79)</f>
        <v>5</v>
      </c>
      <c r="AF79" s="10" t="n">
        <f aca="false">AVERAGE(Q79,R79)</f>
        <v>5</v>
      </c>
      <c r="AG79" s="10" t="n">
        <f aca="false">AVERAGE(T79,U79)</f>
        <v>5</v>
      </c>
      <c r="AH79" s="10" t="n">
        <f aca="false">AVERAGE(W79:Y79)</f>
        <v>1.66666666666667</v>
      </c>
      <c r="AI79" s="7" t="s">
        <v>59</v>
      </c>
      <c r="AJ79" s="7" t="s">
        <v>59</v>
      </c>
    </row>
    <row r="80" customFormat="false" ht="15" hidden="false" customHeight="true" outlineLevel="0" collapsed="false">
      <c r="A80" s="7" t="n">
        <v>50</v>
      </c>
      <c r="B80" s="8" t="n">
        <v>46294</v>
      </c>
      <c r="C80" s="7" t="s">
        <v>53</v>
      </c>
      <c r="D80" s="7" t="s">
        <v>61</v>
      </c>
      <c r="E80" s="7" t="s">
        <v>83</v>
      </c>
      <c r="F80" s="7" t="s">
        <v>99</v>
      </c>
      <c r="G80" s="7" t="s">
        <v>63</v>
      </c>
      <c r="H80" s="7" t="n">
        <v>5</v>
      </c>
      <c r="I80" s="7" t="n">
        <v>1</v>
      </c>
      <c r="J80" s="7" t="n">
        <v>5</v>
      </c>
      <c r="K80" s="7" t="n">
        <v>5</v>
      </c>
      <c r="L80" s="7" t="n">
        <v>5</v>
      </c>
      <c r="M80" s="7" t="n">
        <v>5</v>
      </c>
      <c r="N80" s="7" t="s">
        <v>64</v>
      </c>
      <c r="O80" s="7" t="n">
        <f aca="false">IF(N80="Never",1,IF(N80="Rarely",2,IF(N80="Monthly",3,IF(N80="Weekly",4,5))))</f>
        <v>5</v>
      </c>
      <c r="P80" s="7" t="n">
        <v>5</v>
      </c>
      <c r="Q80" s="7" t="n">
        <v>5</v>
      </c>
      <c r="R80" s="7" t="n">
        <v>5</v>
      </c>
      <c r="S80" s="7" t="n">
        <v>3</v>
      </c>
      <c r="T80" s="7" t="n">
        <v>5</v>
      </c>
      <c r="U80" s="7" t="n">
        <v>4</v>
      </c>
      <c r="V80" s="7" t="n">
        <v>5</v>
      </c>
      <c r="W80" s="7" t="n">
        <v>2</v>
      </c>
      <c r="X80" s="7" t="n">
        <v>5</v>
      </c>
      <c r="Y80" s="7" t="n">
        <v>5</v>
      </c>
      <c r="Z80" s="9" t="n">
        <f aca="false">6-W80</f>
        <v>4</v>
      </c>
      <c r="AA80" s="9" t="n">
        <f aca="false">6-X80</f>
        <v>1</v>
      </c>
      <c r="AB80" s="9" t="n">
        <f aca="false">6-Y80</f>
        <v>1</v>
      </c>
      <c r="AC80" s="10" t="n">
        <f aca="false">AVERAGE(H80:J80)</f>
        <v>3.66666666666667</v>
      </c>
      <c r="AD80" s="10" t="n">
        <f aca="false">AVERAGE(K80:M80)</f>
        <v>5</v>
      </c>
      <c r="AE80" s="10" t="n">
        <f aca="false">AVERAGE(P80,S80,V80)</f>
        <v>4.33333333333333</v>
      </c>
      <c r="AF80" s="10" t="n">
        <f aca="false">AVERAGE(Q80,R80)</f>
        <v>5</v>
      </c>
      <c r="AG80" s="10" t="n">
        <f aca="false">AVERAGE(T80,U80)</f>
        <v>4.5</v>
      </c>
      <c r="AH80" s="10" t="n">
        <f aca="false">AVERAGE(W80:Y80)</f>
        <v>4</v>
      </c>
      <c r="AI80" s="7" t="s">
        <v>59</v>
      </c>
      <c r="AJ80" s="7" t="s">
        <v>59</v>
      </c>
    </row>
    <row r="81" customFormat="false" ht="15" hidden="false" customHeight="true" outlineLevel="0" collapsed="false">
      <c r="A81" s="7" t="n">
        <v>63</v>
      </c>
      <c r="B81" s="8" t="n">
        <v>46295</v>
      </c>
      <c r="C81" s="7" t="s">
        <v>75</v>
      </c>
      <c r="D81" s="7" t="s">
        <v>54</v>
      </c>
      <c r="E81" s="7" t="s">
        <v>83</v>
      </c>
      <c r="F81" s="7" t="s">
        <v>79</v>
      </c>
      <c r="G81" s="7" t="s">
        <v>63</v>
      </c>
      <c r="H81" s="7" t="n">
        <v>4</v>
      </c>
      <c r="I81" s="7" t="n">
        <v>3</v>
      </c>
      <c r="J81" s="7" t="n">
        <v>4</v>
      </c>
      <c r="K81" s="7" t="n">
        <v>2</v>
      </c>
      <c r="L81" s="7" t="n">
        <v>5</v>
      </c>
      <c r="M81" s="7" t="n">
        <v>4</v>
      </c>
      <c r="N81" s="7" t="s">
        <v>74</v>
      </c>
      <c r="O81" s="7" t="n">
        <f aca="false">IF(N81="Never",1,IF(N81="Rarely",2,IF(N81="Monthly",3,IF(N81="Weekly",4,5))))</f>
        <v>3</v>
      </c>
      <c r="P81" s="7" t="n">
        <v>4</v>
      </c>
      <c r="Q81" s="7" t="n">
        <v>3</v>
      </c>
      <c r="R81" s="7" t="n">
        <v>3</v>
      </c>
      <c r="S81" s="7" t="n">
        <v>4</v>
      </c>
      <c r="T81" s="7" t="n">
        <v>5</v>
      </c>
      <c r="U81" s="7" t="n">
        <v>5</v>
      </c>
      <c r="V81" s="7" t="n">
        <v>3</v>
      </c>
      <c r="W81" s="7" t="n">
        <v>3</v>
      </c>
      <c r="X81" s="7" t="n">
        <v>2</v>
      </c>
      <c r="Y81" s="7" t="n">
        <v>1</v>
      </c>
      <c r="Z81" s="9" t="n">
        <f aca="false">6-W81</f>
        <v>3</v>
      </c>
      <c r="AA81" s="9" t="n">
        <f aca="false">6-X81</f>
        <v>4</v>
      </c>
      <c r="AB81" s="9" t="n">
        <f aca="false">6-Y81</f>
        <v>5</v>
      </c>
      <c r="AC81" s="10" t="n">
        <f aca="false">AVERAGE(H81:J81)</f>
        <v>3.66666666666667</v>
      </c>
      <c r="AD81" s="10" t="n">
        <f aca="false">AVERAGE(K81:M81)</f>
        <v>3.66666666666667</v>
      </c>
      <c r="AE81" s="10" t="n">
        <f aca="false">AVERAGE(P81,S81,V81)</f>
        <v>3.66666666666667</v>
      </c>
      <c r="AF81" s="10" t="n">
        <f aca="false">AVERAGE(Q81,R81)</f>
        <v>3</v>
      </c>
      <c r="AG81" s="10" t="n">
        <f aca="false">AVERAGE(T81,U81)</f>
        <v>5</v>
      </c>
      <c r="AH81" s="10" t="n">
        <f aca="false">AVERAGE(W81:Y81)</f>
        <v>2</v>
      </c>
      <c r="AI81" s="7" t="s">
        <v>59</v>
      </c>
      <c r="AJ81" s="7" t="s">
        <v>59</v>
      </c>
    </row>
    <row r="82" customFormat="false" ht="15" hidden="false" customHeight="true" outlineLevel="0" collapsed="false">
      <c r="A82" s="7" t="n">
        <v>69</v>
      </c>
      <c r="B82" s="8" t="n">
        <v>46295</v>
      </c>
      <c r="C82" s="7" t="s">
        <v>75</v>
      </c>
      <c r="D82" s="7" t="s">
        <v>54</v>
      </c>
      <c r="E82" s="7" t="s">
        <v>83</v>
      </c>
      <c r="F82" s="7" t="s">
        <v>79</v>
      </c>
      <c r="G82" s="7" t="s">
        <v>63</v>
      </c>
      <c r="H82" s="7" t="n">
        <v>2</v>
      </c>
      <c r="I82" s="7" t="n">
        <v>1</v>
      </c>
      <c r="J82" s="7" t="n">
        <v>2</v>
      </c>
      <c r="K82" s="7" t="n">
        <v>1</v>
      </c>
      <c r="L82" s="7" t="n">
        <v>1</v>
      </c>
      <c r="M82" s="7" t="n">
        <v>2</v>
      </c>
      <c r="N82" s="7" t="s">
        <v>58</v>
      </c>
      <c r="O82" s="7" t="n">
        <f aca="false">IF(N82="Never",1,IF(N82="Rarely",2,IF(N82="Monthly",3,IF(N82="Weekly",4,5))))</f>
        <v>2</v>
      </c>
      <c r="P82" s="7" t="n">
        <v>2</v>
      </c>
      <c r="Q82" s="7" t="n">
        <v>2</v>
      </c>
      <c r="R82" s="7" t="n">
        <v>1</v>
      </c>
      <c r="S82" s="7" t="n">
        <v>1</v>
      </c>
      <c r="T82" s="7" t="n">
        <v>2</v>
      </c>
      <c r="U82" s="7" t="n">
        <v>1</v>
      </c>
      <c r="V82" s="7" t="n">
        <v>2</v>
      </c>
      <c r="W82" s="7" t="n">
        <v>4</v>
      </c>
      <c r="X82" s="7" t="n">
        <v>5</v>
      </c>
      <c r="Y82" s="7" t="n">
        <v>5</v>
      </c>
      <c r="Z82" s="9" t="n">
        <f aca="false">6-W82</f>
        <v>2</v>
      </c>
      <c r="AA82" s="9" t="n">
        <f aca="false">6-X82</f>
        <v>1</v>
      </c>
      <c r="AB82" s="9" t="n">
        <f aca="false">6-Y82</f>
        <v>1</v>
      </c>
      <c r="AC82" s="10" t="n">
        <f aca="false">AVERAGE(H82:J82)</f>
        <v>1.66666666666667</v>
      </c>
      <c r="AD82" s="10" t="n">
        <f aca="false">AVERAGE(K82:M82)</f>
        <v>1.33333333333333</v>
      </c>
      <c r="AE82" s="10" t="n">
        <f aca="false">AVERAGE(P82,S82,V82)</f>
        <v>1.66666666666667</v>
      </c>
      <c r="AF82" s="10" t="n">
        <f aca="false">AVERAGE(Q82,R82)</f>
        <v>1.5</v>
      </c>
      <c r="AG82" s="10" t="n">
        <f aca="false">AVERAGE(T82,U82)</f>
        <v>1.5</v>
      </c>
      <c r="AH82" s="10" t="n">
        <f aca="false">AVERAGE(W82:Y82)</f>
        <v>4.66666666666667</v>
      </c>
      <c r="AI82" s="7" t="s">
        <v>59</v>
      </c>
      <c r="AJ82" s="7" t="s">
        <v>59</v>
      </c>
    </row>
    <row r="83" customFormat="false" ht="15" hidden="false" customHeight="true" outlineLevel="0" collapsed="false">
      <c r="A83" s="7" t="n">
        <v>76</v>
      </c>
      <c r="B83" s="8" t="n">
        <v>46295</v>
      </c>
      <c r="C83" s="7" t="s">
        <v>53</v>
      </c>
      <c r="D83" s="7" t="s">
        <v>54</v>
      </c>
      <c r="E83" s="7" t="s">
        <v>83</v>
      </c>
      <c r="F83" s="7" t="s">
        <v>78</v>
      </c>
      <c r="G83" s="7" t="s">
        <v>57</v>
      </c>
      <c r="H83" s="7" t="n">
        <v>3</v>
      </c>
      <c r="I83" s="7" t="n">
        <v>4</v>
      </c>
      <c r="J83" s="7" t="n">
        <v>4</v>
      </c>
      <c r="K83" s="7" t="n">
        <v>5</v>
      </c>
      <c r="L83" s="7" t="n">
        <v>5</v>
      </c>
      <c r="M83" s="7" t="n">
        <v>5</v>
      </c>
      <c r="N83" s="7" t="s">
        <v>66</v>
      </c>
      <c r="O83" s="7" t="n">
        <f aca="false">IF(N83="Never",1,IF(N83="Rarely",2,IF(N83="Monthly",3,IF(N83="Weekly",4,5))))</f>
        <v>4</v>
      </c>
      <c r="P83" s="7" t="n">
        <v>4</v>
      </c>
      <c r="Q83" s="7" t="n">
        <v>4</v>
      </c>
      <c r="R83" s="7" t="n">
        <v>4</v>
      </c>
      <c r="S83" s="7" t="n">
        <v>3</v>
      </c>
      <c r="T83" s="7" t="n">
        <v>5</v>
      </c>
      <c r="U83" s="7" t="n">
        <v>5</v>
      </c>
      <c r="V83" s="7" t="n">
        <v>3</v>
      </c>
      <c r="W83" s="7" t="n">
        <v>2</v>
      </c>
      <c r="X83" s="7" t="n">
        <v>3</v>
      </c>
      <c r="Y83" s="7" t="n">
        <v>2</v>
      </c>
      <c r="Z83" s="9" t="n">
        <f aca="false">6-W83</f>
        <v>4</v>
      </c>
      <c r="AA83" s="9" t="n">
        <f aca="false">6-X83</f>
        <v>3</v>
      </c>
      <c r="AB83" s="9" t="n">
        <f aca="false">6-Y83</f>
        <v>4</v>
      </c>
      <c r="AC83" s="10" t="n">
        <f aca="false">AVERAGE(H83:J83)</f>
        <v>3.66666666666667</v>
      </c>
      <c r="AD83" s="10" t="n">
        <f aca="false">AVERAGE(K83:M83)</f>
        <v>5</v>
      </c>
      <c r="AE83" s="10" t="n">
        <f aca="false">AVERAGE(P83,S83,V83)</f>
        <v>3.33333333333333</v>
      </c>
      <c r="AF83" s="10" t="n">
        <f aca="false">AVERAGE(Q83,R83)</f>
        <v>4</v>
      </c>
      <c r="AG83" s="10" t="n">
        <f aca="false">AVERAGE(T83,U83)</f>
        <v>5</v>
      </c>
      <c r="AH83" s="10" t="n">
        <f aca="false">AVERAGE(W83:Y83)</f>
        <v>2.33333333333333</v>
      </c>
      <c r="AI83" s="7" t="s">
        <v>59</v>
      </c>
      <c r="AJ83" s="7" t="s">
        <v>59</v>
      </c>
    </row>
    <row r="84" customFormat="false" ht="15" hidden="false" customHeight="true" outlineLevel="0" collapsed="false">
      <c r="A84" s="7" t="n">
        <v>79</v>
      </c>
      <c r="B84" s="8" t="n">
        <v>46295</v>
      </c>
      <c r="C84" s="7" t="s">
        <v>60</v>
      </c>
      <c r="D84" s="7" t="s">
        <v>61</v>
      </c>
      <c r="E84" s="7" t="s">
        <v>83</v>
      </c>
      <c r="F84" s="7" t="s">
        <v>73</v>
      </c>
      <c r="G84" s="7" t="s">
        <v>57</v>
      </c>
      <c r="H84" s="7" t="n">
        <v>2</v>
      </c>
      <c r="I84" s="7" t="n">
        <v>3</v>
      </c>
      <c r="J84" s="7" t="n">
        <v>1</v>
      </c>
      <c r="K84" s="7" t="n">
        <v>1</v>
      </c>
      <c r="L84" s="7" t="n">
        <v>2</v>
      </c>
      <c r="M84" s="7" t="n">
        <v>3</v>
      </c>
      <c r="N84" s="7" t="s">
        <v>58</v>
      </c>
      <c r="O84" s="7" t="n">
        <f aca="false">IF(N84="Never",1,IF(N84="Rarely",2,IF(N84="Monthly",3,IF(N84="Weekly",4,5))))</f>
        <v>2</v>
      </c>
      <c r="P84" s="7" t="n">
        <v>2</v>
      </c>
      <c r="Q84" s="7" t="n">
        <v>1</v>
      </c>
      <c r="R84" s="7" t="n">
        <v>1</v>
      </c>
      <c r="S84" s="7" t="n">
        <v>2</v>
      </c>
      <c r="T84" s="7" t="n">
        <v>2</v>
      </c>
      <c r="U84" s="7" t="n">
        <v>2</v>
      </c>
      <c r="V84" s="7" t="n">
        <v>1</v>
      </c>
      <c r="W84" s="7" t="n">
        <v>4</v>
      </c>
      <c r="X84" s="7" t="n">
        <v>5</v>
      </c>
      <c r="Y84" s="7" t="n">
        <v>5</v>
      </c>
      <c r="Z84" s="9" t="n">
        <f aca="false">6-W84</f>
        <v>2</v>
      </c>
      <c r="AA84" s="9" t="n">
        <f aca="false">6-X84</f>
        <v>1</v>
      </c>
      <c r="AB84" s="9" t="n">
        <f aca="false">6-Y84</f>
        <v>1</v>
      </c>
      <c r="AC84" s="10" t="n">
        <f aca="false">AVERAGE(H84:J84)</f>
        <v>2</v>
      </c>
      <c r="AD84" s="10" t="n">
        <f aca="false">AVERAGE(K84:M84)</f>
        <v>2</v>
      </c>
      <c r="AE84" s="10" t="n">
        <f aca="false">AVERAGE(P84,S84,V84)</f>
        <v>1.66666666666667</v>
      </c>
      <c r="AF84" s="10" t="n">
        <f aca="false">AVERAGE(Q84,R84)</f>
        <v>1</v>
      </c>
      <c r="AG84" s="10" t="n">
        <f aca="false">AVERAGE(T84,U84)</f>
        <v>2</v>
      </c>
      <c r="AH84" s="10" t="n">
        <f aca="false">AVERAGE(W84:Y84)</f>
        <v>4.66666666666667</v>
      </c>
      <c r="AI84" s="7" t="s">
        <v>59</v>
      </c>
      <c r="AJ84" s="7" t="s">
        <v>59</v>
      </c>
    </row>
    <row r="85" customFormat="false" ht="15" hidden="false" customHeight="true" outlineLevel="0" collapsed="false">
      <c r="A85" s="7" t="n">
        <v>89</v>
      </c>
      <c r="B85" s="8" t="n">
        <v>46295</v>
      </c>
      <c r="C85" s="7" t="s">
        <v>53</v>
      </c>
      <c r="D85" s="7" t="s">
        <v>81</v>
      </c>
      <c r="E85" s="7" t="s">
        <v>83</v>
      </c>
      <c r="F85" s="7" t="s">
        <v>79</v>
      </c>
      <c r="G85" s="7" t="s">
        <v>63</v>
      </c>
      <c r="H85" s="7" t="n">
        <v>4</v>
      </c>
      <c r="I85" s="7" t="n">
        <v>3</v>
      </c>
      <c r="J85" s="7" t="n">
        <v>4</v>
      </c>
      <c r="K85" s="7" t="n">
        <v>5</v>
      </c>
      <c r="L85" s="7" t="n">
        <v>5</v>
      </c>
      <c r="M85" s="7" t="n">
        <v>4</v>
      </c>
      <c r="N85" s="7" t="s">
        <v>66</v>
      </c>
      <c r="O85" s="7" t="n">
        <f aca="false">IF(N85="Never",1,IF(N85="Rarely",2,IF(N85="Monthly",3,IF(N85="Weekly",4,5))))</f>
        <v>4</v>
      </c>
      <c r="P85" s="7" t="n">
        <v>4</v>
      </c>
      <c r="Q85" s="7" t="n">
        <v>4</v>
      </c>
      <c r="R85" s="7" t="n">
        <v>5</v>
      </c>
      <c r="S85" s="7" t="n">
        <v>5</v>
      </c>
      <c r="T85" s="7" t="n">
        <v>4</v>
      </c>
      <c r="U85" s="7" t="n">
        <v>4</v>
      </c>
      <c r="V85" s="7" t="n">
        <v>5</v>
      </c>
      <c r="W85" s="7" t="n">
        <v>3</v>
      </c>
      <c r="X85" s="7" t="n">
        <v>2</v>
      </c>
      <c r="Y85" s="7" t="n">
        <v>2</v>
      </c>
      <c r="Z85" s="9" t="n">
        <f aca="false">6-W85</f>
        <v>3</v>
      </c>
      <c r="AA85" s="9" t="n">
        <f aca="false">6-X85</f>
        <v>4</v>
      </c>
      <c r="AB85" s="9" t="n">
        <f aca="false">6-Y85</f>
        <v>4</v>
      </c>
      <c r="AC85" s="10" t="n">
        <f aca="false">AVERAGE(H85:J85)</f>
        <v>3.66666666666667</v>
      </c>
      <c r="AD85" s="10" t="n">
        <f aca="false">AVERAGE(K85:M85)</f>
        <v>4.66666666666667</v>
      </c>
      <c r="AE85" s="10" t="n">
        <f aca="false">AVERAGE(P85,S85,V85)</f>
        <v>4.66666666666667</v>
      </c>
      <c r="AF85" s="10" t="n">
        <f aca="false">AVERAGE(Q85,R85)</f>
        <v>4.5</v>
      </c>
      <c r="AG85" s="10" t="n">
        <f aca="false">AVERAGE(T85,U85)</f>
        <v>4</v>
      </c>
      <c r="AH85" s="10" t="n">
        <f aca="false">AVERAGE(W85:Y85)</f>
        <v>2.33333333333333</v>
      </c>
      <c r="AI85" s="7" t="s">
        <v>59</v>
      </c>
      <c r="AJ85" s="7" t="s">
        <v>59</v>
      </c>
    </row>
    <row r="86" customFormat="false" ht="15" hidden="false" customHeight="true" outlineLevel="0" collapsed="false">
      <c r="A86" s="7" t="n">
        <v>91</v>
      </c>
      <c r="B86" s="8" t="n">
        <v>46295</v>
      </c>
      <c r="C86" s="7" t="s">
        <v>53</v>
      </c>
      <c r="D86" s="7" t="s">
        <v>54</v>
      </c>
      <c r="E86" s="7" t="s">
        <v>83</v>
      </c>
      <c r="F86" s="7" t="s">
        <v>73</v>
      </c>
      <c r="G86" s="7" t="s">
        <v>57</v>
      </c>
      <c r="H86" s="7" t="n">
        <v>3</v>
      </c>
      <c r="I86" s="7" t="n">
        <v>4</v>
      </c>
      <c r="J86" s="7" t="n">
        <v>4</v>
      </c>
      <c r="K86" s="7" t="n">
        <v>3</v>
      </c>
      <c r="L86" s="7" t="n">
        <v>3</v>
      </c>
      <c r="M86" s="7" t="n">
        <v>3</v>
      </c>
      <c r="N86" s="7" t="s">
        <v>58</v>
      </c>
      <c r="O86" s="7" t="n">
        <f aca="false">IF(N86="Never",1,IF(N86="Rarely",2,IF(N86="Monthly",3,IF(N86="Weekly",4,5))))</f>
        <v>2</v>
      </c>
      <c r="P86" s="7" t="n">
        <v>3</v>
      </c>
      <c r="Q86" s="7" t="n">
        <v>2</v>
      </c>
      <c r="R86" s="7" t="n">
        <v>3</v>
      </c>
      <c r="S86" s="7" t="n">
        <v>4</v>
      </c>
      <c r="T86" s="7" t="n">
        <v>3</v>
      </c>
      <c r="U86" s="7" t="n">
        <v>3</v>
      </c>
      <c r="V86" s="7" t="n">
        <v>3</v>
      </c>
      <c r="W86" s="7" t="n">
        <v>4</v>
      </c>
      <c r="X86" s="7" t="n">
        <v>3</v>
      </c>
      <c r="Y86" s="7" t="n">
        <v>4</v>
      </c>
      <c r="Z86" s="9" t="n">
        <f aca="false">6-W86</f>
        <v>2</v>
      </c>
      <c r="AA86" s="9" t="n">
        <f aca="false">6-X86</f>
        <v>3</v>
      </c>
      <c r="AB86" s="9" t="n">
        <f aca="false">6-Y86</f>
        <v>2</v>
      </c>
      <c r="AC86" s="10" t="n">
        <f aca="false">AVERAGE(H86:J86)</f>
        <v>3.66666666666667</v>
      </c>
      <c r="AD86" s="10" t="n">
        <f aca="false">AVERAGE(K86:M86)</f>
        <v>3</v>
      </c>
      <c r="AE86" s="10" t="n">
        <f aca="false">AVERAGE(P86,S86,V86)</f>
        <v>3.33333333333333</v>
      </c>
      <c r="AF86" s="10" t="n">
        <f aca="false">AVERAGE(Q86,R86)</f>
        <v>2.5</v>
      </c>
      <c r="AG86" s="10" t="n">
        <f aca="false">AVERAGE(T86,U86)</f>
        <v>3</v>
      </c>
      <c r="AH86" s="10" t="n">
        <f aca="false">AVERAGE(W86:Y86)</f>
        <v>3.66666666666667</v>
      </c>
      <c r="AI86" s="7" t="s">
        <v>59</v>
      </c>
      <c r="AJ86" s="7" t="s">
        <v>59</v>
      </c>
    </row>
    <row r="87" customFormat="false" ht="15" hidden="false" customHeight="true" outlineLevel="0" collapsed="false">
      <c r="A87" s="7" t="n">
        <v>100</v>
      </c>
      <c r="B87" s="8" t="n">
        <v>46295</v>
      </c>
      <c r="C87" s="7" t="s">
        <v>53</v>
      </c>
      <c r="D87" s="7" t="s">
        <v>54</v>
      </c>
      <c r="E87" s="7" t="s">
        <v>83</v>
      </c>
      <c r="F87" s="7" t="s">
        <v>78</v>
      </c>
      <c r="G87" s="7" t="s">
        <v>57</v>
      </c>
      <c r="H87" s="7" t="n">
        <v>4</v>
      </c>
      <c r="I87" s="7" t="n">
        <v>4</v>
      </c>
      <c r="J87" s="7" t="n">
        <v>5</v>
      </c>
      <c r="K87" s="7" t="n">
        <v>5</v>
      </c>
      <c r="L87" s="7" t="n">
        <v>4</v>
      </c>
      <c r="M87" s="7" t="n">
        <v>4</v>
      </c>
      <c r="N87" s="7" t="s">
        <v>64</v>
      </c>
      <c r="O87" s="7" t="n">
        <f aca="false">IF(N87="Never",1,IF(N87="Rarely",2,IF(N87="Monthly",3,IF(N87="Weekly",4,5))))</f>
        <v>5</v>
      </c>
      <c r="P87" s="7" t="n">
        <v>3</v>
      </c>
      <c r="Q87" s="7" t="n">
        <v>4</v>
      </c>
      <c r="R87" s="7" t="n">
        <v>4</v>
      </c>
      <c r="S87" s="7" t="n">
        <v>5</v>
      </c>
      <c r="T87" s="7" t="n">
        <v>5</v>
      </c>
      <c r="U87" s="7" t="n">
        <v>4</v>
      </c>
      <c r="V87" s="7" t="n">
        <v>4</v>
      </c>
      <c r="W87" s="7" t="n">
        <v>3</v>
      </c>
      <c r="X87" s="7" t="n">
        <v>2</v>
      </c>
      <c r="Y87" s="7" t="n">
        <v>2</v>
      </c>
      <c r="Z87" s="9" t="n">
        <f aca="false">6-W87</f>
        <v>3</v>
      </c>
      <c r="AA87" s="9" t="n">
        <f aca="false">6-X87</f>
        <v>4</v>
      </c>
      <c r="AB87" s="9" t="n">
        <f aca="false">6-Y87</f>
        <v>4</v>
      </c>
      <c r="AC87" s="10" t="n">
        <f aca="false">AVERAGE(H87:J87)</f>
        <v>4.33333333333333</v>
      </c>
      <c r="AD87" s="10" t="n">
        <f aca="false">AVERAGE(K87:M87)</f>
        <v>4.33333333333333</v>
      </c>
      <c r="AE87" s="10" t="n">
        <f aca="false">AVERAGE(P87,S87,V87)</f>
        <v>4</v>
      </c>
      <c r="AF87" s="10" t="n">
        <f aca="false">AVERAGE(Q87,R87)</f>
        <v>4</v>
      </c>
      <c r="AG87" s="10" t="n">
        <f aca="false">AVERAGE(T87,U87)</f>
        <v>4.5</v>
      </c>
      <c r="AH87" s="10" t="n">
        <f aca="false">AVERAGE(W87:Y87)</f>
        <v>2.33333333333333</v>
      </c>
      <c r="AI87" s="7" t="s">
        <v>59</v>
      </c>
      <c r="AJ87" s="7" t="s">
        <v>59</v>
      </c>
    </row>
    <row r="88" customFormat="false" ht="15" hidden="false" customHeight="true" outlineLevel="0" collapsed="false">
      <c r="A88" s="7" t="n">
        <v>13</v>
      </c>
      <c r="B88" s="8" t="n">
        <v>46293</v>
      </c>
      <c r="C88" s="7" t="s">
        <v>75</v>
      </c>
      <c r="D88" s="7" t="s">
        <v>61</v>
      </c>
      <c r="E88" s="7" t="s">
        <v>100</v>
      </c>
      <c r="F88" s="7" t="s">
        <v>101</v>
      </c>
      <c r="G88" s="7" t="s">
        <v>63</v>
      </c>
      <c r="H88" s="7" t="n">
        <v>2</v>
      </c>
      <c r="I88" s="7" t="n">
        <v>2</v>
      </c>
      <c r="J88" s="7" t="n">
        <v>2</v>
      </c>
      <c r="K88" s="7" t="n">
        <v>2</v>
      </c>
      <c r="L88" s="7" t="n">
        <v>2</v>
      </c>
      <c r="M88" s="7" t="n">
        <v>2</v>
      </c>
      <c r="N88" s="7" t="s">
        <v>74</v>
      </c>
      <c r="O88" s="7" t="n">
        <f aca="false">IF(N88="Never",1,IF(N88="Rarely",2,IF(N88="Monthly",3,IF(N88="Weekly",4,5))))</f>
        <v>3</v>
      </c>
      <c r="P88" s="7" t="n">
        <v>2</v>
      </c>
      <c r="Q88" s="7" t="n">
        <v>2</v>
      </c>
      <c r="R88" s="7" t="n">
        <v>2</v>
      </c>
      <c r="S88" s="7" t="n">
        <v>2</v>
      </c>
      <c r="T88" s="7" t="n">
        <v>2</v>
      </c>
      <c r="U88" s="7" t="n">
        <v>2</v>
      </c>
      <c r="V88" s="7" t="n">
        <v>2</v>
      </c>
      <c r="W88" s="7" t="n">
        <v>4</v>
      </c>
      <c r="X88" s="7" t="n">
        <v>4</v>
      </c>
      <c r="Y88" s="7" t="n">
        <v>4</v>
      </c>
      <c r="Z88" s="9" t="n">
        <f aca="false">6-W88</f>
        <v>2</v>
      </c>
      <c r="AA88" s="9" t="n">
        <f aca="false">6-X88</f>
        <v>2</v>
      </c>
      <c r="AB88" s="9" t="n">
        <f aca="false">6-Y88</f>
        <v>2</v>
      </c>
      <c r="AC88" s="10" t="n">
        <f aca="false">AVERAGE(H88:J88)</f>
        <v>2</v>
      </c>
      <c r="AD88" s="10" t="n">
        <f aca="false">AVERAGE(K88:M88)</f>
        <v>2</v>
      </c>
      <c r="AE88" s="10" t="n">
        <f aca="false">AVERAGE(P88,S88,V88)</f>
        <v>2</v>
      </c>
      <c r="AF88" s="10" t="n">
        <f aca="false">AVERAGE(Q88,R88)</f>
        <v>2</v>
      </c>
      <c r="AG88" s="10" t="n">
        <f aca="false">AVERAGE(T88,U88)</f>
        <v>2</v>
      </c>
      <c r="AH88" s="10" t="n">
        <f aca="false">AVERAGE(W88:Y88)</f>
        <v>4</v>
      </c>
      <c r="AI88" s="7" t="s">
        <v>59</v>
      </c>
      <c r="AJ88" s="7" t="s">
        <v>59</v>
      </c>
    </row>
    <row r="89" customFormat="false" ht="15" hidden="false" customHeight="true" outlineLevel="0" collapsed="false">
      <c r="A89" s="7" t="n">
        <v>1</v>
      </c>
      <c r="B89" s="8" t="n">
        <v>46293</v>
      </c>
      <c r="C89" s="7" t="s">
        <v>60</v>
      </c>
      <c r="D89" s="7" t="s">
        <v>61</v>
      </c>
      <c r="E89" s="7" t="s">
        <v>80</v>
      </c>
      <c r="F89" s="7" t="s">
        <v>80</v>
      </c>
      <c r="G89" s="7" t="s">
        <v>80</v>
      </c>
      <c r="H89" s="7" t="n">
        <v>4</v>
      </c>
      <c r="I89" s="7" t="n">
        <v>5</v>
      </c>
      <c r="J89" s="7" t="n">
        <v>4</v>
      </c>
      <c r="K89" s="7" t="n">
        <v>5</v>
      </c>
      <c r="L89" s="7" t="n">
        <v>3</v>
      </c>
      <c r="M89" s="7" t="n">
        <v>4</v>
      </c>
      <c r="N89" s="7" t="s">
        <v>64</v>
      </c>
      <c r="O89" s="7" t="n">
        <f aca="false">IF(N89="Never",1,IF(N89="Rarely",2,IF(N89="Monthly",3,IF(N89="Weekly",4,5))))</f>
        <v>5</v>
      </c>
      <c r="P89" s="7" t="n">
        <v>5</v>
      </c>
      <c r="Q89" s="7" t="n">
        <v>3</v>
      </c>
      <c r="R89" s="7" t="n">
        <v>4</v>
      </c>
      <c r="S89" s="7" t="n">
        <v>5</v>
      </c>
      <c r="T89" s="7" t="n">
        <v>5</v>
      </c>
      <c r="U89" s="7" t="n">
        <v>4</v>
      </c>
      <c r="V89" s="7" t="n">
        <v>5</v>
      </c>
      <c r="W89" s="7" t="n">
        <v>5</v>
      </c>
      <c r="X89" s="7" t="n">
        <v>5</v>
      </c>
      <c r="Y89" s="7" t="n">
        <v>4</v>
      </c>
      <c r="Z89" s="9" t="n">
        <f aca="false">6-W89</f>
        <v>1</v>
      </c>
      <c r="AA89" s="9" t="n">
        <f aca="false">6-X89</f>
        <v>1</v>
      </c>
      <c r="AB89" s="9" t="n">
        <f aca="false">6-Y89</f>
        <v>2</v>
      </c>
      <c r="AC89" s="10" t="n">
        <f aca="false">AVERAGE(H89:J89)</f>
        <v>4.33333333333333</v>
      </c>
      <c r="AD89" s="10" t="n">
        <f aca="false">AVERAGE(K89:M89)</f>
        <v>4</v>
      </c>
      <c r="AE89" s="10" t="n">
        <f aca="false">AVERAGE(P89,S89,V89)</f>
        <v>5</v>
      </c>
      <c r="AF89" s="10" t="n">
        <f aca="false">AVERAGE(Q89,R89)</f>
        <v>3.5</v>
      </c>
      <c r="AG89" s="10" t="n">
        <f aca="false">AVERAGE(T89,U89)</f>
        <v>4.5</v>
      </c>
      <c r="AH89" s="10" t="n">
        <f aca="false">AVERAGE(W89:Y89)</f>
        <v>4.66666666666667</v>
      </c>
      <c r="AI89" s="7" t="s">
        <v>59</v>
      </c>
      <c r="AJ89" s="7" t="s">
        <v>59</v>
      </c>
    </row>
  </sheetData>
  <autoFilter ref="A1:AJ89"/>
  <conditionalFormatting sqref="AC2:AC89">
    <cfRule type="colorScale" priority="2">
      <colorScale>
        <cfvo type="num" val="1"/>
        <cfvo type="num" val="3"/>
        <cfvo type="num" val="5"/>
        <color rgb="FFF8696B"/>
        <color rgb="FFFFEB84"/>
        <color rgb="FF63BE7B"/>
      </colorScale>
    </cfRule>
  </conditionalFormatting>
  <conditionalFormatting sqref="AD2:AD89">
    <cfRule type="colorScale" priority="3">
      <colorScale>
        <cfvo type="num" val="1"/>
        <cfvo type="num" val="3"/>
        <cfvo type="num" val="5"/>
        <color rgb="FFF8696B"/>
        <color rgb="FFFFEB84"/>
        <color rgb="FF63BE7B"/>
      </colorScale>
    </cfRule>
  </conditionalFormatting>
  <conditionalFormatting sqref="AE2:AE89">
    <cfRule type="colorScale" priority="4">
      <colorScale>
        <cfvo type="num" val="1"/>
        <cfvo type="num" val="3"/>
        <cfvo type="num" val="5"/>
        <color rgb="FFF8696B"/>
        <color rgb="FFFFEB84"/>
        <color rgb="FF63BE7B"/>
      </colorScale>
    </cfRule>
  </conditionalFormatting>
  <conditionalFormatting sqref="AF2:AF89">
    <cfRule type="colorScale" priority="5">
      <colorScale>
        <cfvo type="num" val="1"/>
        <cfvo type="num" val="3"/>
        <cfvo type="num" val="5"/>
        <color rgb="FFF8696B"/>
        <color rgb="FFFFEB84"/>
        <color rgb="FF63BE7B"/>
      </colorScale>
    </cfRule>
  </conditionalFormatting>
  <conditionalFormatting sqref="AG2:AG89">
    <cfRule type="colorScale" priority="6">
      <colorScale>
        <cfvo type="num" val="1"/>
        <cfvo type="num" val="3"/>
        <cfvo type="num" val="5"/>
        <color rgb="FFF8696B"/>
        <color rgb="FFFFEB84"/>
        <color rgb="FF63BE7B"/>
      </colorScale>
    </cfRule>
  </conditionalFormatting>
  <conditionalFormatting sqref="AH2:AH89">
    <cfRule type="colorScale" priority="7">
      <colorScale>
        <cfvo type="num" val="1"/>
        <cfvo type="num" val="3"/>
        <cfvo type="num" val="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4" min="4" style="1" width="24"/>
    <col collapsed="false" customWidth="true" hidden="false" outlineLevel="0" max="5" min="5" style="1" width="16"/>
  </cols>
  <sheetData>
    <row r="1" customFormat="false" ht="30" hidden="false" customHeight="true" outlineLevel="0" collapsed="false">
      <c r="A1" s="2" t="s">
        <v>102</v>
      </c>
      <c r="B1" s="2"/>
      <c r="C1" s="2"/>
      <c r="D1" s="2"/>
      <c r="E1" s="2"/>
      <c r="F1" s="2"/>
    </row>
    <row r="3" customFormat="false" ht="33.75" hidden="false" customHeight="true" outlineLevel="0" collapsed="false">
      <c r="A3" s="6" t="s">
        <v>103</v>
      </c>
      <c r="B3" s="6" t="s">
        <v>104</v>
      </c>
      <c r="D3" s="6" t="s">
        <v>105</v>
      </c>
      <c r="E3" s="6" t="s">
        <v>106</v>
      </c>
    </row>
    <row r="4" customFormat="false" ht="15" hidden="false" customHeight="true" outlineLevel="0" collapsed="false">
      <c r="A4" s="11" t="s">
        <v>107</v>
      </c>
      <c r="B4" s="12" t="n">
        <f aca="false">COUNTA(Survey_Data!A2:A89)</f>
        <v>88</v>
      </c>
      <c r="D4" s="13" t="s">
        <v>108</v>
      </c>
      <c r="E4" s="14" t="n">
        <f aca="false">AVERAGE(Survey_Data!AC2:AC89)</f>
        <v>3.97727272727273</v>
      </c>
    </row>
    <row r="5" customFormat="false" ht="15" hidden="false" customHeight="true" outlineLevel="0" collapsed="false">
      <c r="A5" s="11" t="s">
        <v>109</v>
      </c>
      <c r="B5" s="12" t="n">
        <f aca="false">COUNTIF(Survey_Data!E2:E89,"China")</f>
        <v>54</v>
      </c>
      <c r="D5" s="13" t="s">
        <v>110</v>
      </c>
      <c r="E5" s="14" t="n">
        <f aca="false">AVERAGE(Survey_Data!AD2:AD89)</f>
        <v>4.06439393939394</v>
      </c>
    </row>
    <row r="6" customFormat="false" ht="15" hidden="false" customHeight="true" outlineLevel="0" collapsed="false">
      <c r="A6" s="11" t="s">
        <v>111</v>
      </c>
      <c r="B6" s="12" t="n">
        <f aca="false">COUNTIF(Survey_Data!E2:E89,"India")</f>
        <v>32</v>
      </c>
      <c r="D6" s="13" t="s">
        <v>112</v>
      </c>
      <c r="E6" s="14" t="n">
        <f aca="false">AVERAGE(Survey_Data!AE2:AE89)</f>
        <v>4.03409090909091</v>
      </c>
    </row>
    <row r="7" customFormat="false" ht="15" hidden="false" customHeight="true" outlineLevel="0" collapsed="false">
      <c r="A7" s="11" t="s">
        <v>113</v>
      </c>
      <c r="B7" s="14" t="n">
        <f aca="false">AVERAGE(Survey_Data!AC2:AC89)</f>
        <v>3.97727272727273</v>
      </c>
      <c r="D7" s="13" t="s">
        <v>114</v>
      </c>
      <c r="E7" s="14" t="n">
        <f aca="false">AVERAGE(Survey_Data!AF2:AF89)</f>
        <v>3.90909090909091</v>
      </c>
    </row>
    <row r="8" customFormat="false" ht="15" hidden="false" customHeight="true" outlineLevel="0" collapsed="false">
      <c r="A8" s="11" t="s">
        <v>115</v>
      </c>
      <c r="B8" s="14" t="n">
        <f aca="false">AVERAGE(Survey_Data!AD2:AD89)</f>
        <v>4.06439393939394</v>
      </c>
      <c r="D8" s="13" t="s">
        <v>116</v>
      </c>
      <c r="E8" s="14" t="n">
        <f aca="false">AVERAGE(Survey_Data!AG2:AG89)</f>
        <v>4.09659090909091</v>
      </c>
    </row>
    <row r="9" customFormat="false" ht="15" hidden="false" customHeight="true" outlineLevel="0" collapsed="false">
      <c r="A9" s="11" t="s">
        <v>117</v>
      </c>
      <c r="B9" s="14" t="n">
        <f aca="false">AVERAGE(Survey_Data!AE2:AE89)</f>
        <v>4.03409090909091</v>
      </c>
      <c r="D9" s="13" t="s">
        <v>118</v>
      </c>
      <c r="E9" s="14" t="n">
        <f aca="false">AVERAGE(Survey_Data!AH2:AH89)</f>
        <v>2.59469696969697</v>
      </c>
    </row>
    <row r="10" customFormat="false" ht="15" hidden="false" customHeight="true" outlineLevel="0" collapsed="false">
      <c r="A10" s="11" t="s">
        <v>119</v>
      </c>
      <c r="B10" s="14" t="n">
        <f aca="false">AVERAGE(Survey_Data!AF2:AF89)</f>
        <v>3.90909090909091</v>
      </c>
    </row>
    <row r="11" customFormat="false" ht="15" hidden="false" customHeight="true" outlineLevel="0" collapsed="false">
      <c r="A11" s="11" t="s">
        <v>120</v>
      </c>
      <c r="B11" s="14" t="n">
        <f aca="false">AVERAGE(Survey_Data!AG2:AG89)</f>
        <v>4.09659090909091</v>
      </c>
    </row>
    <row r="12" customFormat="false" ht="15" hidden="false" customHeight="true" outlineLevel="0" collapsed="false">
      <c r="A12" s="11" t="s">
        <v>121</v>
      </c>
      <c r="B12" s="14" t="n">
        <f aca="false">AVERAGE(Survey_Data!AH2:AH89)</f>
        <v>2.59469696969697</v>
      </c>
    </row>
    <row r="15" customFormat="false" ht="15" hidden="false" customHeight="true" outlineLevel="0" collapsed="false">
      <c r="A15" s="15" t="s">
        <v>122</v>
      </c>
    </row>
    <row r="16" customFormat="false" ht="15" hidden="false" customHeight="true" outlineLevel="0" collapsed="false">
      <c r="A16" s="16" t="s">
        <v>123</v>
      </c>
      <c r="B16" s="16"/>
      <c r="C16" s="16"/>
      <c r="D16" s="16"/>
      <c r="E16" s="16"/>
      <c r="F16" s="16"/>
    </row>
    <row r="17" customFormat="false" ht="15" hidden="false" customHeight="true" outlineLevel="0" collapsed="false">
      <c r="A17" s="16"/>
      <c r="B17" s="16"/>
      <c r="C17" s="16"/>
      <c r="D17" s="16"/>
      <c r="E17" s="16"/>
      <c r="F17" s="16"/>
    </row>
  </sheetData>
  <mergeCells count="2">
    <mergeCell ref="A1:F1"/>
    <mergeCell ref="A16:F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48"/>
    <col collapsed="false" customWidth="true" hidden="false" outlineLevel="0" max="4" min="4" style="1" width="42"/>
    <col collapsed="false" customWidth="true" hidden="false" outlineLevel="0" max="5" min="5" style="1" width="22"/>
    <col collapsed="false" customWidth="true" hidden="false" outlineLevel="0" max="6" min="6" style="1" width="16"/>
  </cols>
  <sheetData>
    <row r="1" customFormat="false" ht="30" hidden="false" customHeight="true" outlineLevel="0" collapsed="false">
      <c r="A1" s="2" t="s">
        <v>124</v>
      </c>
      <c r="B1" s="2"/>
      <c r="C1" s="2"/>
      <c r="D1" s="2"/>
      <c r="E1" s="2"/>
      <c r="F1" s="2"/>
    </row>
    <row r="3" customFormat="false" ht="33.75" hidden="false" customHeight="true" outlineLevel="0" collapsed="false">
      <c r="A3" s="6" t="s">
        <v>125</v>
      </c>
      <c r="B3" s="6" t="s">
        <v>126</v>
      </c>
      <c r="C3" s="6" t="s">
        <v>127</v>
      </c>
      <c r="D3" s="6" t="s">
        <v>128</v>
      </c>
      <c r="E3" s="6" t="s">
        <v>129</v>
      </c>
      <c r="F3" s="6" t="s">
        <v>130</v>
      </c>
    </row>
    <row r="4" customFormat="false" ht="48" hidden="false" customHeight="true" outlineLevel="0" collapsed="false">
      <c r="A4" s="17" t="s">
        <v>131</v>
      </c>
      <c r="B4" s="17" t="s">
        <v>132</v>
      </c>
      <c r="C4" s="17" t="s">
        <v>133</v>
      </c>
      <c r="D4" s="17" t="n">
        <f aca="false">COUNTA(Survey_Data!A2:A89)</f>
        <v>88</v>
      </c>
      <c r="E4" s="17"/>
      <c r="F4" s="18" t="s">
        <v>59</v>
      </c>
    </row>
    <row r="5" customFormat="false" ht="48" hidden="false" customHeight="true" outlineLevel="0" collapsed="false">
      <c r="A5" s="17" t="s">
        <v>134</v>
      </c>
      <c r="B5" s="17" t="s">
        <v>135</v>
      </c>
      <c r="C5" s="17" t="s">
        <v>136</v>
      </c>
      <c r="D5" s="17" t="n">
        <f aca="false">COUNTIF(Survey_Data!E2:E89,"India")</f>
        <v>32</v>
      </c>
      <c r="E5" s="17"/>
      <c r="F5" s="18" t="s">
        <v>59</v>
      </c>
    </row>
    <row r="6" customFormat="false" ht="48" hidden="false" customHeight="true" outlineLevel="0" collapsed="false">
      <c r="A6" s="17" t="s">
        <v>137</v>
      </c>
      <c r="B6" s="17" t="s">
        <v>138</v>
      </c>
      <c r="C6" s="17" t="s">
        <v>139</v>
      </c>
      <c r="D6" s="17" t="n">
        <f aca="false">AVERAGE(Survey_Data!AC2:AC89)</f>
        <v>3.97727272727273</v>
      </c>
      <c r="E6" s="17"/>
      <c r="F6" s="18" t="s">
        <v>59</v>
      </c>
    </row>
    <row r="7" customFormat="false" ht="48" hidden="false" customHeight="true" outlineLevel="0" collapsed="false">
      <c r="A7" s="17" t="s">
        <v>140</v>
      </c>
      <c r="B7" s="17" t="s">
        <v>141</v>
      </c>
      <c r="C7" s="17" t="s">
        <v>142</v>
      </c>
      <c r="D7" s="17" t="n">
        <f aca="false">AVERAGEIF(Survey_Data!E2:E89,"China",Survey_Data!AG2:AG89)</f>
        <v>4.05555555555556</v>
      </c>
      <c r="E7" s="17"/>
      <c r="F7" s="18" t="s">
        <v>59</v>
      </c>
    </row>
    <row r="8" customFormat="false" ht="48" hidden="false" customHeight="true" outlineLevel="0" collapsed="false">
      <c r="A8" s="17" t="s">
        <v>143</v>
      </c>
      <c r="B8" s="17" t="s">
        <v>144</v>
      </c>
      <c r="C8" s="17" t="s">
        <v>145</v>
      </c>
      <c r="D8" s="17" t="str">
        <f aca="false">IF(AG2&gt;=4,"High","Other")</f>
        <v>Other</v>
      </c>
      <c r="E8" s="17"/>
      <c r="F8" s="18" t="s">
        <v>59</v>
      </c>
    </row>
    <row r="9" customFormat="false" ht="48" hidden="false" customHeight="true" outlineLevel="0" collapsed="false">
      <c r="A9" s="17" t="s">
        <v>146</v>
      </c>
      <c r="B9" s="17" t="s">
        <v>147</v>
      </c>
      <c r="C9" s="17" t="s">
        <v>148</v>
      </c>
      <c r="D9" s="17" t="s">
        <v>149</v>
      </c>
      <c r="E9" s="17"/>
      <c r="F9" s="18" t="s">
        <v>59</v>
      </c>
    </row>
    <row r="10" customFormat="false" ht="48" hidden="false" customHeight="true" outlineLevel="0" collapsed="false">
      <c r="A10" s="17" t="s">
        <v>150</v>
      </c>
      <c r="B10" s="17" t="s">
        <v>151</v>
      </c>
      <c r="C10" s="17" t="s">
        <v>152</v>
      </c>
      <c r="D10" s="17" t="s">
        <v>153</v>
      </c>
      <c r="E10" s="17"/>
      <c r="F10" s="18" t="s">
        <v>59</v>
      </c>
    </row>
    <row r="11" customFormat="false" ht="48" hidden="false" customHeight="true" outlineLevel="0" collapsed="false">
      <c r="A11" s="17" t="s">
        <v>154</v>
      </c>
      <c r="B11" s="17" t="s">
        <v>155</v>
      </c>
      <c r="C11" s="17" t="s">
        <v>156</v>
      </c>
      <c r="D11" s="17" t="s">
        <v>157</v>
      </c>
      <c r="E11" s="17"/>
      <c r="F11" s="18" t="s">
        <v>59</v>
      </c>
    </row>
    <row r="12" customFormat="false" ht="48" hidden="false" customHeight="true" outlineLevel="0" collapsed="false">
      <c r="A12" s="17" t="s">
        <v>158</v>
      </c>
      <c r="B12" s="17" t="s">
        <v>159</v>
      </c>
      <c r="C12" s="17" t="s">
        <v>160</v>
      </c>
      <c r="D12" s="17" t="s">
        <v>161</v>
      </c>
      <c r="E12" s="17"/>
      <c r="F12" s="18" t="s">
        <v>59</v>
      </c>
    </row>
    <row r="13" customFormat="false" ht="48" hidden="false" customHeight="true" outlineLevel="0" collapsed="false">
      <c r="A13" s="17" t="s">
        <v>162</v>
      </c>
      <c r="B13" s="17" t="s">
        <v>163</v>
      </c>
      <c r="C13" s="17" t="s">
        <v>164</v>
      </c>
      <c r="D13" s="17" t="s">
        <v>165</v>
      </c>
      <c r="E13" s="17"/>
      <c r="F13" s="18" t="s">
        <v>59</v>
      </c>
    </row>
  </sheetData>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6" min="2" style="1" width="18"/>
  </cols>
  <sheetData>
    <row r="1" customFormat="false" ht="30" hidden="false" customHeight="true" outlineLevel="0" collapsed="false">
      <c r="A1" s="2" t="s">
        <v>166</v>
      </c>
      <c r="B1" s="2"/>
      <c r="C1" s="2"/>
      <c r="D1" s="2"/>
      <c r="E1" s="2"/>
      <c r="F1" s="2"/>
    </row>
    <row r="3" customFormat="false" ht="33.75" hidden="false" customHeight="true" outlineLevel="0" collapsed="false">
      <c r="A3" s="17" t="s">
        <v>167</v>
      </c>
      <c r="B3" s="17"/>
      <c r="C3" s="17"/>
      <c r="D3" s="17"/>
      <c r="E3" s="17"/>
      <c r="F3" s="17"/>
    </row>
    <row r="4" customFormat="false" ht="51.75" hidden="false" customHeight="true" outlineLevel="0" collapsed="false">
      <c r="A4" s="17" t="s">
        <v>168</v>
      </c>
      <c r="B4" s="17"/>
      <c r="C4" s="17"/>
      <c r="D4" s="17"/>
      <c r="E4" s="17"/>
      <c r="F4" s="17"/>
    </row>
    <row r="5" customFormat="false" ht="51.75" hidden="false" customHeight="true" outlineLevel="0" collapsed="false">
      <c r="A5" s="17" t="s">
        <v>169</v>
      </c>
      <c r="B5" s="17"/>
      <c r="C5" s="17"/>
      <c r="D5" s="17"/>
      <c r="E5" s="17"/>
      <c r="F5" s="17"/>
    </row>
    <row r="6" customFormat="false" ht="51.75" hidden="false" customHeight="true" outlineLevel="0" collapsed="false">
      <c r="A6" s="17" t="s">
        <v>170</v>
      </c>
      <c r="B6" s="17"/>
      <c r="C6" s="17"/>
      <c r="D6" s="17"/>
      <c r="E6" s="17"/>
      <c r="F6" s="17"/>
    </row>
    <row r="7" customFormat="false" ht="33.75" hidden="false" customHeight="true" outlineLevel="0" collapsed="false">
      <c r="A7" s="17" t="s">
        <v>171</v>
      </c>
      <c r="B7" s="17"/>
      <c r="C7" s="17"/>
      <c r="D7" s="17"/>
      <c r="E7" s="17"/>
      <c r="F7" s="17"/>
    </row>
    <row r="8" customFormat="false" ht="33.75" hidden="false" customHeight="true" outlineLevel="0" collapsed="false">
      <c r="A8" s="17" t="s">
        <v>172</v>
      </c>
      <c r="B8" s="17"/>
      <c r="C8" s="17"/>
      <c r="D8" s="17"/>
      <c r="E8" s="17"/>
      <c r="F8" s="17"/>
    </row>
    <row r="9" customFormat="false" ht="33.75" hidden="false" customHeight="true" outlineLevel="0" collapsed="false">
      <c r="A9" s="17" t="s">
        <v>173</v>
      </c>
      <c r="B9" s="17"/>
      <c r="C9" s="17"/>
      <c r="D9" s="17"/>
      <c r="E9" s="17"/>
      <c r="F9" s="17"/>
    </row>
    <row r="10" customFormat="false" ht="51.75" hidden="false" customHeight="true" outlineLevel="0" collapsed="false">
      <c r="A10" s="17" t="s">
        <v>174</v>
      </c>
      <c r="B10" s="17"/>
      <c r="C10" s="17"/>
      <c r="D10" s="17"/>
      <c r="E10" s="17"/>
      <c r="F10" s="17"/>
    </row>
    <row r="11" customFormat="false" ht="51.75" hidden="false" customHeight="true" outlineLevel="0" collapsed="false">
      <c r="A11" s="17" t="s">
        <v>175</v>
      </c>
      <c r="B11" s="17"/>
      <c r="C11" s="17"/>
      <c r="D11" s="17"/>
      <c r="E11" s="17"/>
      <c r="F11" s="17"/>
    </row>
    <row r="12" customFormat="false" ht="33.75" hidden="false" customHeight="true" outlineLevel="0" collapsed="false">
      <c r="A12" s="17" t="s">
        <v>176</v>
      </c>
      <c r="B12" s="17"/>
      <c r="C12" s="17"/>
      <c r="D12" s="17"/>
      <c r="E12" s="17"/>
      <c r="F12" s="17"/>
    </row>
  </sheetData>
  <mergeCells count="11">
    <mergeCell ref="A1:F1"/>
    <mergeCell ref="A3:F3"/>
    <mergeCell ref="A4:F4"/>
    <mergeCell ref="A5:F5"/>
    <mergeCell ref="A6:F6"/>
    <mergeCell ref="A7:F7"/>
    <mergeCell ref="A8:F8"/>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8"/>
    <col collapsed="false" customWidth="true" hidden="false" outlineLevel="0" max="4" min="3" style="1" width="18"/>
    <col collapsed="false" customWidth="true" hidden="false" outlineLevel="0" max="5" min="5" style="1" width="42"/>
  </cols>
  <sheetData>
    <row r="1" customFormat="false" ht="30" hidden="false" customHeight="true" outlineLevel="0" collapsed="false">
      <c r="A1" s="2" t="s">
        <v>177</v>
      </c>
      <c r="B1" s="2"/>
      <c r="C1" s="2"/>
      <c r="D1" s="2"/>
      <c r="E1" s="2"/>
    </row>
    <row r="3" customFormat="false" ht="33.75" hidden="false" customHeight="true" outlineLevel="0" collapsed="false">
      <c r="A3" s="6" t="s">
        <v>126</v>
      </c>
      <c r="B3" s="6" t="s">
        <v>178</v>
      </c>
      <c r="C3" s="6" t="s">
        <v>15</v>
      </c>
      <c r="D3" s="6" t="s">
        <v>179</v>
      </c>
      <c r="E3" s="6" t="s">
        <v>180</v>
      </c>
    </row>
    <row r="4" customFormat="false" ht="43.5" hidden="false" customHeight="true" outlineLevel="0" collapsed="false">
      <c r="A4" s="17" t="s">
        <v>181</v>
      </c>
      <c r="B4" s="17" t="s">
        <v>182</v>
      </c>
      <c r="C4" s="17" t="s">
        <v>183</v>
      </c>
      <c r="D4" s="17"/>
      <c r="E4" s="17"/>
    </row>
    <row r="5" customFormat="false" ht="43.5" hidden="false" customHeight="true" outlineLevel="0" collapsed="false">
      <c r="A5" s="17" t="s">
        <v>184</v>
      </c>
      <c r="B5" s="17" t="s">
        <v>185</v>
      </c>
      <c r="C5" s="17" t="s">
        <v>186</v>
      </c>
      <c r="D5" s="17"/>
      <c r="E5" s="17"/>
    </row>
    <row r="6" customFormat="false" ht="43.5" hidden="false" customHeight="true" outlineLevel="0" collapsed="false">
      <c r="A6" s="17" t="s">
        <v>187</v>
      </c>
      <c r="B6" s="17" t="s">
        <v>188</v>
      </c>
      <c r="C6" s="17" t="s">
        <v>186</v>
      </c>
      <c r="D6" s="17"/>
      <c r="E6" s="17"/>
    </row>
    <row r="7" customFormat="false" ht="43.5" hidden="false" customHeight="true" outlineLevel="0" collapsed="false">
      <c r="A7" s="17" t="s">
        <v>189</v>
      </c>
      <c r="B7" s="17" t="s">
        <v>190</v>
      </c>
      <c r="C7" s="17" t="s">
        <v>186</v>
      </c>
      <c r="D7" s="17"/>
      <c r="E7" s="17"/>
    </row>
    <row r="8" customFormat="false" ht="43.5" hidden="false" customHeight="true" outlineLevel="0" collapsed="false">
      <c r="A8" s="17" t="s">
        <v>191</v>
      </c>
      <c r="B8" s="17" t="s">
        <v>192</v>
      </c>
      <c r="C8" s="17" t="s">
        <v>186</v>
      </c>
      <c r="D8" s="17"/>
      <c r="E8" s="17"/>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2026-10-14T15:22:12Z</dcterms:created>
  <dc:creator>openpyxl</dc:creator>
  <dc:description/>
  <dc:language>en-US</dc:language>
  <cp:lastModifiedBy/>
  <dcterms:modified xsi:type="dcterms:W3CDTF">2026-10-22T16:51:20Z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